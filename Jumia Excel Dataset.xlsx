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2.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pivotTables/pivotTable3.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4.xml" ContentType="application/vnd.openxmlformats-officedocument.drawing+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drawings/drawing5.xml" ContentType="application/vnd.openxmlformats-officedocument.drawing+xml"/>
  <Override PartName="/xl/slicers/slicer3.xml" ContentType="application/vnd.ms-excel.slicer+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6.xml" ContentType="application/vnd.openxmlformats-officedocument.drawing+xml"/>
  <Override PartName="/xl/slicers/slicer4.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https://d.docs.live.net/fa6592e2b6032941/Documents/"/>
    </mc:Choice>
  </mc:AlternateContent>
  <xr:revisionPtr revIDLastSave="0" documentId="8_{7907FCB2-9379-42BD-A414-F8D0A702600F}" xr6:coauthVersionLast="47" xr6:coauthVersionMax="47" xr10:uidLastSave="{00000000-0000-0000-0000-000000000000}"/>
  <bookViews>
    <workbookView xWindow="-120" yWindow="-120" windowWidth="20730" windowHeight="11160" firstSheet="5" activeTab="8" xr2:uid="{028E3882-1122-4CD8-B0E9-89D7EB279B58}"/>
  </bookViews>
  <sheets>
    <sheet name="Excel_jumia_dataset" sheetId="1" r:id="rId1"/>
    <sheet name="Excel_jumia_dataset Current" sheetId="2" r:id="rId2"/>
    <sheet name="Sheet4" sheetId="6" r:id="rId3"/>
    <sheet name="Rating Category" sheetId="7" r:id="rId4"/>
    <sheet name="Discount Category" sheetId="16" r:id="rId5"/>
    <sheet name="Excel_jumia_dataset Current (Re" sheetId="5" r:id="rId6"/>
    <sheet name="Data Analysis" sheetId="3" r:id="rId7"/>
    <sheet name="Graphics" sheetId="13" r:id="rId8"/>
    <sheet name="Dashboard" sheetId="20" r:id="rId9"/>
  </sheets>
  <definedNames>
    <definedName name="_xlnm._FilterDatabase" localSheetId="6" hidden="1">'Data Analysis'!$A$1:$B$10</definedName>
    <definedName name="_xlnm._FilterDatabase" localSheetId="0" hidden="1">Excel_jumia_dataset!$A$1:$F$116</definedName>
    <definedName name="_xlnm._FilterDatabase" localSheetId="1" hidden="1">'Excel_jumia_dataset Current'!$A$1:$F$117</definedName>
    <definedName name="_xlchart.v1.0" hidden="1">'Data Analysis'!$A$28:$B$37</definedName>
    <definedName name="_xlchart.v1.1" hidden="1">'Data Analysis'!$C$27</definedName>
    <definedName name="_xlchart.v1.2" hidden="1">'Data Analysis'!$C$28:$C$37</definedName>
    <definedName name="Slicer_Discount_Category">#N/A</definedName>
    <definedName name="Slicer_Discount_Category1">#N/A</definedName>
    <definedName name="Slicer_Price_Categpry">#N/A</definedName>
    <definedName name="Slicer_Product">#N/A</definedName>
    <definedName name="Slicer_Rating_Category">#N/A</definedName>
    <definedName name="Slicer_Ratings">#N/A</definedName>
    <definedName name="Slicer_Review">#N/A</definedName>
  </definedNames>
  <calcPr calcId="191029"/>
  <pivotCaches>
    <pivotCache cacheId="53" r:id="rId10"/>
    <pivotCache cacheId="22" r:id="rId11"/>
    <pivotCache cacheId="51" r:id="rId12"/>
    <pivotCache cacheId="42" r:id="rId13"/>
  </pivotCaches>
  <fileRecoveryPr repairLoad="1"/>
  <extLst>
    <ext xmlns:x14="http://schemas.microsoft.com/office/spreadsheetml/2009/9/main" uri="{BBE1A952-AA13-448e-AADC-164F8A28A991}">
      <x14:slicerCaches>
        <x14:slicerCache r:id="rId14"/>
        <x14:slicerCache r:id="rId15"/>
        <x14:slicerCache r:id="rId16"/>
        <x14:slicerCache r:id="rId17"/>
        <x14:slicerCache r:id="rId18"/>
        <x14:slicerCache r:id="rId19"/>
        <x14:slicerCache r:id="rId2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71" i="2" l="1"/>
  <c r="E71" i="2"/>
  <c r="F71" i="2"/>
  <c r="D71" i="2"/>
  <c r="I71" i="2" s="1"/>
  <c r="C71" i="2"/>
  <c r="J112" i="5"/>
  <c r="I112" i="5"/>
  <c r="G112" i="5"/>
  <c r="J111" i="5"/>
  <c r="I111" i="5"/>
  <c r="G111" i="5"/>
  <c r="J110" i="5"/>
  <c r="I110" i="5"/>
  <c r="G110" i="5"/>
  <c r="J109" i="5"/>
  <c r="I109" i="5"/>
  <c r="G109" i="5"/>
  <c r="J108" i="5"/>
  <c r="I108" i="5"/>
  <c r="G108" i="5"/>
  <c r="J107" i="5"/>
  <c r="I107" i="5"/>
  <c r="G107" i="5"/>
  <c r="J106" i="5"/>
  <c r="I106" i="5"/>
  <c r="G106" i="5"/>
  <c r="J105" i="5"/>
  <c r="I105" i="5"/>
  <c r="G105" i="5"/>
  <c r="J104" i="5"/>
  <c r="I104" i="5"/>
  <c r="G104" i="5"/>
  <c r="J103" i="5"/>
  <c r="I103" i="5"/>
  <c r="G103" i="5"/>
  <c r="J102" i="5"/>
  <c r="I102" i="5"/>
  <c r="G102" i="5"/>
  <c r="J101" i="5"/>
  <c r="I101" i="5"/>
  <c r="G101" i="5"/>
  <c r="J100" i="5"/>
  <c r="I100" i="5"/>
  <c r="G100" i="5"/>
  <c r="J99" i="5"/>
  <c r="I99" i="5"/>
  <c r="G99" i="5"/>
  <c r="J98" i="5"/>
  <c r="I98" i="5"/>
  <c r="G98" i="5"/>
  <c r="J97" i="5"/>
  <c r="I97" i="5"/>
  <c r="G97" i="5"/>
  <c r="J96" i="5"/>
  <c r="I96" i="5"/>
  <c r="G96" i="5"/>
  <c r="J95" i="5"/>
  <c r="I95" i="5"/>
  <c r="G95" i="5"/>
  <c r="J94" i="5"/>
  <c r="I94" i="5"/>
  <c r="G94" i="5"/>
  <c r="J93" i="5"/>
  <c r="I93" i="5"/>
  <c r="G93" i="5"/>
  <c r="J92" i="5"/>
  <c r="I92" i="5"/>
  <c r="G92" i="5"/>
  <c r="J91" i="5"/>
  <c r="I91" i="5"/>
  <c r="G91" i="5"/>
  <c r="J90" i="5"/>
  <c r="I90" i="5"/>
  <c r="G90" i="5"/>
  <c r="J89" i="5"/>
  <c r="I89" i="5"/>
  <c r="G89" i="5"/>
  <c r="J88" i="5"/>
  <c r="I88" i="5"/>
  <c r="G88" i="5"/>
  <c r="J87" i="5"/>
  <c r="I87" i="5"/>
  <c r="G87" i="5"/>
  <c r="J86" i="5"/>
  <c r="I86" i="5"/>
  <c r="G86" i="5"/>
  <c r="J85" i="5"/>
  <c r="I85" i="5"/>
  <c r="G85" i="5"/>
  <c r="J84" i="5"/>
  <c r="I84" i="5"/>
  <c r="G84" i="5"/>
  <c r="J83" i="5"/>
  <c r="I83" i="5"/>
  <c r="G83" i="5"/>
  <c r="J82" i="5"/>
  <c r="I82" i="5"/>
  <c r="G82" i="5"/>
  <c r="J81" i="5"/>
  <c r="I81" i="5"/>
  <c r="G81" i="5"/>
  <c r="J80" i="5"/>
  <c r="I80" i="5"/>
  <c r="G80" i="5"/>
  <c r="J79" i="5"/>
  <c r="I79" i="5"/>
  <c r="G79" i="5"/>
  <c r="J78" i="5"/>
  <c r="I78" i="5"/>
  <c r="G78" i="5"/>
  <c r="J77" i="5"/>
  <c r="I77" i="5"/>
  <c r="G77" i="5"/>
  <c r="J76" i="5"/>
  <c r="I76" i="5"/>
  <c r="G76" i="5"/>
  <c r="J75" i="5"/>
  <c r="I75" i="5"/>
  <c r="G75" i="5"/>
  <c r="J74" i="5"/>
  <c r="I74" i="5"/>
  <c r="G74" i="5"/>
  <c r="J73" i="5"/>
  <c r="I73" i="5"/>
  <c r="G73" i="5"/>
  <c r="J72" i="5"/>
  <c r="I72" i="5"/>
  <c r="G72" i="5"/>
  <c r="J71" i="5"/>
  <c r="I71" i="5"/>
  <c r="G71" i="5"/>
  <c r="J70" i="5"/>
  <c r="I70" i="5"/>
  <c r="G70" i="5"/>
  <c r="J69" i="5"/>
  <c r="I69" i="5"/>
  <c r="G69" i="5"/>
  <c r="J68" i="5"/>
  <c r="I68" i="5"/>
  <c r="G68" i="5"/>
  <c r="J67" i="5"/>
  <c r="I67" i="5"/>
  <c r="G67" i="5"/>
  <c r="J66" i="5"/>
  <c r="I66" i="5"/>
  <c r="G66" i="5"/>
  <c r="J65" i="5"/>
  <c r="I65" i="5"/>
  <c r="G65" i="5"/>
  <c r="J64" i="5"/>
  <c r="I64" i="5"/>
  <c r="G64" i="5"/>
  <c r="J63" i="5"/>
  <c r="I63" i="5"/>
  <c r="G63" i="5"/>
  <c r="J62" i="5"/>
  <c r="I62" i="5"/>
  <c r="G62" i="5"/>
  <c r="J61" i="5"/>
  <c r="I61" i="5"/>
  <c r="G61" i="5"/>
  <c r="J60" i="5"/>
  <c r="I60" i="5"/>
  <c r="G60" i="5"/>
  <c r="J59" i="5"/>
  <c r="I59" i="5"/>
  <c r="G59" i="5"/>
  <c r="J58" i="5"/>
  <c r="I58" i="5"/>
  <c r="G58" i="5"/>
  <c r="J57" i="5"/>
  <c r="I57" i="5"/>
  <c r="H57" i="5"/>
  <c r="G57" i="5"/>
  <c r="J56" i="5"/>
  <c r="I56" i="5"/>
  <c r="H56" i="5"/>
  <c r="G56" i="5"/>
  <c r="J55" i="5"/>
  <c r="I55" i="5"/>
  <c r="H55" i="5"/>
  <c r="G55" i="5"/>
  <c r="J54" i="5"/>
  <c r="I54" i="5"/>
  <c r="H54" i="5"/>
  <c r="G54" i="5"/>
  <c r="J53" i="5"/>
  <c r="I53" i="5"/>
  <c r="H53" i="5"/>
  <c r="G53" i="5"/>
  <c r="J52" i="5"/>
  <c r="I52" i="5"/>
  <c r="H52" i="5"/>
  <c r="G52" i="5"/>
  <c r="J51" i="5"/>
  <c r="I51" i="5"/>
  <c r="H51" i="5"/>
  <c r="G51" i="5"/>
  <c r="J50" i="5"/>
  <c r="I50" i="5"/>
  <c r="H50" i="5"/>
  <c r="G50" i="5"/>
  <c r="J49" i="5"/>
  <c r="I49" i="5"/>
  <c r="H49" i="5"/>
  <c r="G49" i="5"/>
  <c r="J48" i="5"/>
  <c r="I48" i="5"/>
  <c r="H48" i="5"/>
  <c r="G48" i="5"/>
  <c r="J47" i="5"/>
  <c r="I47" i="5"/>
  <c r="H47" i="5"/>
  <c r="G47" i="5"/>
  <c r="J46" i="5"/>
  <c r="I46" i="5"/>
  <c r="H46" i="5"/>
  <c r="G46" i="5"/>
  <c r="J45" i="5"/>
  <c r="I45" i="5"/>
  <c r="H45" i="5"/>
  <c r="G45" i="5"/>
  <c r="J44" i="5"/>
  <c r="I44" i="5"/>
  <c r="H44" i="5"/>
  <c r="G44" i="5"/>
  <c r="J43" i="5"/>
  <c r="I43" i="5"/>
  <c r="H43" i="5"/>
  <c r="G43" i="5"/>
  <c r="J42" i="5"/>
  <c r="I42" i="5"/>
  <c r="H42" i="5"/>
  <c r="G42" i="5"/>
  <c r="J41" i="5"/>
  <c r="I41" i="5"/>
  <c r="H41" i="5"/>
  <c r="G41" i="5"/>
  <c r="J40" i="5"/>
  <c r="I40" i="5"/>
  <c r="H40" i="5"/>
  <c r="G40" i="5"/>
  <c r="J39" i="5"/>
  <c r="I39" i="5"/>
  <c r="H39" i="5"/>
  <c r="G39" i="5"/>
  <c r="J38" i="5"/>
  <c r="I38" i="5"/>
  <c r="H38" i="5"/>
  <c r="G38" i="5"/>
  <c r="J37" i="5"/>
  <c r="I37" i="5"/>
  <c r="H37" i="5"/>
  <c r="G37" i="5"/>
  <c r="J36" i="5"/>
  <c r="I36" i="5"/>
  <c r="H36" i="5"/>
  <c r="G36" i="5"/>
  <c r="J35" i="5"/>
  <c r="I35" i="5"/>
  <c r="H35" i="5"/>
  <c r="G35" i="5"/>
  <c r="J34" i="5"/>
  <c r="I34" i="5"/>
  <c r="H34" i="5"/>
  <c r="G34" i="5"/>
  <c r="J33" i="5"/>
  <c r="I33" i="5"/>
  <c r="H33" i="5"/>
  <c r="G33" i="5"/>
  <c r="J32" i="5"/>
  <c r="I32" i="5"/>
  <c r="H32" i="5"/>
  <c r="G32" i="5"/>
  <c r="J31" i="5"/>
  <c r="I31" i="5"/>
  <c r="H31" i="5"/>
  <c r="G31" i="5"/>
  <c r="J30" i="5"/>
  <c r="I30" i="5"/>
  <c r="H30" i="5"/>
  <c r="G30" i="5"/>
  <c r="J29" i="5"/>
  <c r="I29" i="5"/>
  <c r="H29" i="5"/>
  <c r="G29" i="5"/>
  <c r="J28" i="5"/>
  <c r="I28" i="5"/>
  <c r="H28" i="5"/>
  <c r="G28" i="5"/>
  <c r="J27" i="5"/>
  <c r="I27" i="5"/>
  <c r="H27" i="5"/>
  <c r="G27" i="5"/>
  <c r="J26" i="5"/>
  <c r="I26" i="5"/>
  <c r="H26" i="5"/>
  <c r="G26" i="5"/>
  <c r="J25" i="5"/>
  <c r="I25" i="5"/>
  <c r="H25" i="5"/>
  <c r="G25" i="5"/>
  <c r="J24" i="5"/>
  <c r="I24" i="5"/>
  <c r="H24" i="5"/>
  <c r="G24" i="5"/>
  <c r="J23" i="5"/>
  <c r="I23" i="5"/>
  <c r="H23" i="5"/>
  <c r="G23" i="5"/>
  <c r="J22" i="5"/>
  <c r="I22" i="5"/>
  <c r="H22" i="5"/>
  <c r="G22" i="5"/>
  <c r="J21" i="5"/>
  <c r="I21" i="5"/>
  <c r="H21" i="5"/>
  <c r="G21" i="5"/>
  <c r="J20" i="5"/>
  <c r="I20" i="5"/>
  <c r="H20" i="5"/>
  <c r="G20" i="5"/>
  <c r="J19" i="5"/>
  <c r="I19" i="5"/>
  <c r="H19" i="5"/>
  <c r="G19" i="5"/>
  <c r="J18" i="5"/>
  <c r="I18" i="5"/>
  <c r="H18" i="5"/>
  <c r="G18" i="5"/>
  <c r="J17" i="5"/>
  <c r="I17" i="5"/>
  <c r="H17" i="5"/>
  <c r="G17" i="5"/>
  <c r="J16" i="5"/>
  <c r="I16" i="5"/>
  <c r="H16" i="5"/>
  <c r="G16" i="5"/>
  <c r="J15" i="5"/>
  <c r="I15" i="5"/>
  <c r="H15" i="5"/>
  <c r="G15" i="5"/>
  <c r="J14" i="5"/>
  <c r="I14" i="5"/>
  <c r="H14" i="5"/>
  <c r="G14" i="5"/>
  <c r="J13" i="5"/>
  <c r="I13" i="5"/>
  <c r="H13" i="5"/>
  <c r="G13" i="5"/>
  <c r="J12" i="5"/>
  <c r="I12" i="5"/>
  <c r="H12" i="5"/>
  <c r="G12" i="5"/>
  <c r="J11" i="5"/>
  <c r="I11" i="5"/>
  <c r="H11" i="5"/>
  <c r="G11" i="5"/>
  <c r="J10" i="5"/>
  <c r="I10" i="5"/>
  <c r="H10" i="5"/>
  <c r="G10" i="5"/>
  <c r="J9" i="5"/>
  <c r="I9" i="5"/>
  <c r="H9" i="5"/>
  <c r="G9" i="5"/>
  <c r="J8" i="5"/>
  <c r="I8" i="5"/>
  <c r="H8" i="5"/>
  <c r="G8" i="5"/>
  <c r="J7" i="5"/>
  <c r="I7" i="5"/>
  <c r="H7" i="5"/>
  <c r="G7" i="5"/>
  <c r="J6" i="5"/>
  <c r="I6" i="5"/>
  <c r="H6" i="5"/>
  <c r="G6" i="5"/>
  <c r="J5" i="5"/>
  <c r="I5" i="5"/>
  <c r="H5" i="5"/>
  <c r="G5" i="5"/>
  <c r="J4" i="5"/>
  <c r="I4" i="5"/>
  <c r="H4" i="5"/>
  <c r="G4" i="5"/>
  <c r="J3" i="5"/>
  <c r="I3" i="5"/>
  <c r="H3" i="5"/>
  <c r="G3" i="5"/>
  <c r="J2" i="5"/>
  <c r="I2" i="5"/>
  <c r="H2" i="5"/>
  <c r="G2" i="5"/>
  <c r="B71" i="2"/>
  <c r="G71" i="2" s="1"/>
  <c r="J112" i="2"/>
  <c r="I112" i="2"/>
  <c r="G112" i="2"/>
  <c r="J111" i="2"/>
  <c r="I111" i="2"/>
  <c r="G111" i="2"/>
  <c r="J110" i="2"/>
  <c r="I110" i="2"/>
  <c r="G110" i="2"/>
  <c r="J109" i="2"/>
  <c r="I109" i="2"/>
  <c r="G109" i="2"/>
  <c r="J108" i="2"/>
  <c r="I108" i="2"/>
  <c r="G108" i="2"/>
  <c r="J107" i="2"/>
  <c r="I107" i="2"/>
  <c r="G107" i="2"/>
  <c r="J106" i="2"/>
  <c r="I106" i="2"/>
  <c r="G106" i="2"/>
  <c r="J105" i="2"/>
  <c r="I105" i="2"/>
  <c r="G105" i="2"/>
  <c r="J104" i="2"/>
  <c r="I104" i="2"/>
  <c r="G104" i="2"/>
  <c r="J103" i="2"/>
  <c r="I103" i="2"/>
  <c r="G103" i="2"/>
  <c r="J102" i="2"/>
  <c r="I102" i="2"/>
  <c r="G102" i="2"/>
  <c r="J101" i="2"/>
  <c r="I101" i="2"/>
  <c r="G101" i="2"/>
  <c r="J100" i="2"/>
  <c r="I100" i="2"/>
  <c r="G100" i="2"/>
  <c r="J99" i="2"/>
  <c r="I99" i="2"/>
  <c r="G99" i="2"/>
  <c r="J98" i="2"/>
  <c r="I98" i="2"/>
  <c r="G98" i="2"/>
  <c r="J97" i="2"/>
  <c r="I97" i="2"/>
  <c r="G97" i="2"/>
  <c r="J96" i="2"/>
  <c r="I96" i="2"/>
  <c r="G96" i="2"/>
  <c r="J95" i="2"/>
  <c r="I95" i="2"/>
  <c r="G95" i="2"/>
  <c r="J94" i="2"/>
  <c r="I94" i="2"/>
  <c r="G94" i="2"/>
  <c r="J93" i="2"/>
  <c r="I93" i="2"/>
  <c r="G93" i="2"/>
  <c r="J92" i="2"/>
  <c r="I92" i="2"/>
  <c r="G92" i="2"/>
  <c r="J91" i="2"/>
  <c r="I91" i="2"/>
  <c r="G91" i="2"/>
  <c r="J90" i="2"/>
  <c r="I90" i="2"/>
  <c r="G90" i="2"/>
  <c r="J89" i="2"/>
  <c r="I89" i="2"/>
  <c r="G89" i="2"/>
  <c r="J88" i="2"/>
  <c r="I88" i="2"/>
  <c r="G88" i="2"/>
  <c r="J87" i="2"/>
  <c r="I87" i="2"/>
  <c r="G87" i="2"/>
  <c r="J86" i="2"/>
  <c r="I86" i="2"/>
  <c r="G86" i="2"/>
  <c r="J85" i="2"/>
  <c r="I85" i="2"/>
  <c r="G85" i="2"/>
  <c r="J84" i="2"/>
  <c r="I84" i="2"/>
  <c r="G84" i="2"/>
  <c r="J83" i="2"/>
  <c r="I83" i="2"/>
  <c r="G83" i="2"/>
  <c r="J82" i="2"/>
  <c r="I82" i="2"/>
  <c r="G82" i="2"/>
  <c r="J81" i="2"/>
  <c r="I81" i="2"/>
  <c r="G81" i="2"/>
  <c r="J80" i="2"/>
  <c r="I80" i="2"/>
  <c r="G80" i="2"/>
  <c r="J79" i="2"/>
  <c r="I79" i="2"/>
  <c r="G79" i="2"/>
  <c r="J78" i="2"/>
  <c r="I78" i="2"/>
  <c r="G78" i="2"/>
  <c r="J77" i="2"/>
  <c r="I77" i="2"/>
  <c r="G77" i="2"/>
  <c r="J76" i="2"/>
  <c r="I76" i="2"/>
  <c r="G76" i="2"/>
  <c r="J75" i="2"/>
  <c r="I75" i="2"/>
  <c r="G75" i="2"/>
  <c r="J74" i="2"/>
  <c r="I74" i="2"/>
  <c r="G74" i="2"/>
  <c r="J73" i="2"/>
  <c r="I73" i="2"/>
  <c r="G73" i="2"/>
  <c r="J72" i="2"/>
  <c r="I72" i="2"/>
  <c r="G72" i="2"/>
  <c r="J71" i="2"/>
  <c r="J70" i="2"/>
  <c r="I70" i="2"/>
  <c r="G70" i="2"/>
  <c r="J69" i="2"/>
  <c r="I69" i="2"/>
  <c r="G69" i="2"/>
  <c r="J68" i="2"/>
  <c r="I68" i="2"/>
  <c r="G68" i="2"/>
  <c r="J67" i="2"/>
  <c r="I67" i="2"/>
  <c r="G67" i="2"/>
  <c r="J66" i="2"/>
  <c r="I66" i="2"/>
  <c r="G66" i="2"/>
  <c r="J65" i="2"/>
  <c r="I65" i="2"/>
  <c r="G65" i="2"/>
  <c r="J64" i="2"/>
  <c r="I64" i="2"/>
  <c r="G64" i="2"/>
  <c r="J63" i="2"/>
  <c r="I63" i="2"/>
  <c r="G63" i="2"/>
  <c r="J62" i="2"/>
  <c r="I62" i="2"/>
  <c r="G62" i="2"/>
  <c r="J61" i="2"/>
  <c r="I61" i="2"/>
  <c r="G61" i="2"/>
  <c r="J60" i="2"/>
  <c r="I60" i="2"/>
  <c r="G60" i="2"/>
  <c r="J59" i="2"/>
  <c r="I59" i="2"/>
  <c r="G59" i="2"/>
  <c r="J58" i="2"/>
  <c r="I58" i="2"/>
  <c r="G58" i="2"/>
  <c r="J57" i="2"/>
  <c r="I57" i="2"/>
  <c r="H57" i="2"/>
  <c r="G57" i="2"/>
  <c r="J56" i="2"/>
  <c r="I56" i="2"/>
  <c r="H56" i="2"/>
  <c r="G56" i="2"/>
  <c r="J55" i="2"/>
  <c r="I55" i="2"/>
  <c r="H55" i="2"/>
  <c r="G55" i="2"/>
  <c r="J54" i="2"/>
  <c r="I54" i="2"/>
  <c r="H54" i="2"/>
  <c r="G54" i="2"/>
  <c r="J53" i="2"/>
  <c r="I53" i="2"/>
  <c r="H53" i="2"/>
  <c r="G53" i="2"/>
  <c r="J52" i="2"/>
  <c r="I52" i="2"/>
  <c r="H52" i="2"/>
  <c r="G52" i="2"/>
  <c r="J51" i="2"/>
  <c r="I51" i="2"/>
  <c r="H51" i="2"/>
  <c r="G51" i="2"/>
  <c r="J50" i="2"/>
  <c r="I50" i="2"/>
  <c r="H50" i="2"/>
  <c r="G50" i="2"/>
  <c r="J49" i="2"/>
  <c r="I49" i="2"/>
  <c r="H49" i="2"/>
  <c r="G49" i="2"/>
  <c r="J48" i="2"/>
  <c r="I48" i="2"/>
  <c r="H48" i="2"/>
  <c r="G48" i="2"/>
  <c r="J47" i="2"/>
  <c r="I47" i="2"/>
  <c r="H47" i="2"/>
  <c r="G47" i="2"/>
  <c r="J46" i="2"/>
  <c r="I46" i="2"/>
  <c r="H46" i="2"/>
  <c r="G46" i="2"/>
  <c r="J45" i="2"/>
  <c r="I45" i="2"/>
  <c r="H45" i="2"/>
  <c r="G45" i="2"/>
  <c r="J44" i="2"/>
  <c r="I44" i="2"/>
  <c r="H44" i="2"/>
  <c r="G44" i="2"/>
  <c r="J43" i="2"/>
  <c r="I43" i="2"/>
  <c r="H43" i="2"/>
  <c r="G43" i="2"/>
  <c r="J42" i="2"/>
  <c r="I42" i="2"/>
  <c r="H42" i="2"/>
  <c r="G42" i="2"/>
  <c r="J41" i="2"/>
  <c r="I41" i="2"/>
  <c r="H41" i="2"/>
  <c r="G41" i="2"/>
  <c r="J40" i="2"/>
  <c r="I40" i="2"/>
  <c r="H40" i="2"/>
  <c r="G40" i="2"/>
  <c r="J39" i="2"/>
  <c r="I39" i="2"/>
  <c r="H39" i="2"/>
  <c r="G39" i="2"/>
  <c r="J38" i="2"/>
  <c r="I38" i="2"/>
  <c r="H38" i="2"/>
  <c r="G38" i="2"/>
  <c r="J37" i="2"/>
  <c r="I37" i="2"/>
  <c r="H37" i="2"/>
  <c r="G37" i="2"/>
  <c r="J36" i="2"/>
  <c r="I36" i="2"/>
  <c r="H36" i="2"/>
  <c r="G36" i="2"/>
  <c r="J35" i="2"/>
  <c r="I35" i="2"/>
  <c r="H35" i="2"/>
  <c r="G35" i="2"/>
  <c r="J34" i="2"/>
  <c r="I34" i="2"/>
  <c r="H34" i="2"/>
  <c r="G34" i="2"/>
  <c r="J33" i="2"/>
  <c r="I33" i="2"/>
  <c r="H33" i="2"/>
  <c r="G33" i="2"/>
  <c r="J32" i="2"/>
  <c r="I32" i="2"/>
  <c r="H32" i="2"/>
  <c r="G32" i="2"/>
  <c r="J31" i="2"/>
  <c r="I31" i="2"/>
  <c r="H31" i="2"/>
  <c r="G31" i="2"/>
  <c r="J30" i="2"/>
  <c r="I30" i="2"/>
  <c r="H30" i="2"/>
  <c r="G30" i="2"/>
  <c r="J29" i="2"/>
  <c r="I29" i="2"/>
  <c r="H29" i="2"/>
  <c r="G29" i="2"/>
  <c r="J28" i="2"/>
  <c r="I28" i="2"/>
  <c r="H28" i="2"/>
  <c r="G28" i="2"/>
  <c r="J27" i="2"/>
  <c r="I27" i="2"/>
  <c r="H27" i="2"/>
  <c r="G27" i="2"/>
  <c r="J26" i="2"/>
  <c r="I26" i="2"/>
  <c r="H26" i="2"/>
  <c r="G26" i="2"/>
  <c r="J25" i="2"/>
  <c r="I25" i="2"/>
  <c r="H25" i="2"/>
  <c r="G25" i="2"/>
  <c r="J24" i="2"/>
  <c r="I24" i="2"/>
  <c r="H24" i="2"/>
  <c r="G24" i="2"/>
  <c r="J23" i="2"/>
  <c r="I23" i="2"/>
  <c r="H23" i="2"/>
  <c r="G23" i="2"/>
  <c r="J22" i="2"/>
  <c r="I22" i="2"/>
  <c r="H22" i="2"/>
  <c r="G22" i="2"/>
  <c r="J21" i="2"/>
  <c r="I21" i="2"/>
  <c r="H21" i="2"/>
  <c r="G21" i="2"/>
  <c r="J20" i="2"/>
  <c r="I20" i="2"/>
  <c r="H20" i="2"/>
  <c r="G20" i="2"/>
  <c r="J19" i="2"/>
  <c r="I19" i="2"/>
  <c r="H19" i="2"/>
  <c r="G19" i="2"/>
  <c r="J18" i="2"/>
  <c r="I18" i="2"/>
  <c r="H18" i="2"/>
  <c r="G18" i="2"/>
  <c r="J17" i="2"/>
  <c r="I17" i="2"/>
  <c r="H17" i="2"/>
  <c r="G17" i="2"/>
  <c r="J16" i="2"/>
  <c r="I16" i="2"/>
  <c r="H16" i="2"/>
  <c r="G16" i="2"/>
  <c r="J15" i="2"/>
  <c r="I15" i="2"/>
  <c r="H15" i="2"/>
  <c r="G15" i="2"/>
  <c r="J14" i="2"/>
  <c r="I14" i="2"/>
  <c r="H14" i="2"/>
  <c r="G14" i="2"/>
  <c r="J13" i="2"/>
  <c r="I13" i="2"/>
  <c r="H13" i="2"/>
  <c r="G13" i="2"/>
  <c r="J12" i="2"/>
  <c r="I12" i="2"/>
  <c r="H12" i="2"/>
  <c r="G12" i="2"/>
  <c r="J11" i="2"/>
  <c r="I11" i="2"/>
  <c r="H11" i="2"/>
  <c r="G11" i="2"/>
  <c r="J10" i="2"/>
  <c r="I10" i="2"/>
  <c r="H10" i="2"/>
  <c r="G10" i="2"/>
  <c r="J9" i="2"/>
  <c r="I9" i="2"/>
  <c r="H9" i="2"/>
  <c r="G9" i="2"/>
  <c r="J8" i="2"/>
  <c r="I8" i="2"/>
  <c r="H8" i="2"/>
  <c r="G8" i="2"/>
  <c r="J7" i="2"/>
  <c r="I7" i="2"/>
  <c r="H7" i="2"/>
  <c r="G7" i="2"/>
  <c r="J6" i="2"/>
  <c r="I6" i="2"/>
  <c r="H6" i="2"/>
  <c r="G6" i="2"/>
  <c r="J5" i="2"/>
  <c r="I5" i="2"/>
  <c r="H5" i="2"/>
  <c r="G5" i="2"/>
  <c r="J4" i="2"/>
  <c r="I4" i="2"/>
  <c r="H4" i="2"/>
  <c r="G4" i="2"/>
  <c r="J3" i="2"/>
  <c r="I3" i="2"/>
  <c r="H3" i="2"/>
  <c r="G3" i="2"/>
  <c r="J2" i="2"/>
  <c r="I2" i="2"/>
  <c r="H2" i="2"/>
  <c r="G2" i="2"/>
</calcChain>
</file>

<file path=xl/sharedStrings.xml><?xml version="1.0" encoding="utf-8"?>
<sst xmlns="http://schemas.openxmlformats.org/spreadsheetml/2006/main" count="781" uniqueCount="362">
  <si>
    <t>Product</t>
  </si>
  <si>
    <t>Current price</t>
  </si>
  <si>
    <t>Discount</t>
  </si>
  <si>
    <t>Review</t>
  </si>
  <si>
    <t>115  Piece Set Of Multifunctional Precision Screwdrivers</t>
  </si>
  <si>
    <t>KSh 950</t>
  </si>
  <si>
    <t>KSh 1,525</t>
  </si>
  <si>
    <t>4.5 out of 5</t>
  </si>
  <si>
    <t>Metal Decorative Hooks Key Hangers Entryway Wall Hooks Towel Hooks - Home</t>
  </si>
  <si>
    <t>KSh 527</t>
  </si>
  <si>
    <t>KSh 999</t>
  </si>
  <si>
    <t>4.1 out of 5</t>
  </si>
  <si>
    <t>Portable Mini Cordless Car Vacuum Cleaner - Blue</t>
  </si>
  <si>
    <t>KSh 2,199</t>
  </si>
  <si>
    <t>KSh 2,923</t>
  </si>
  <si>
    <t>4.6 out of 5</t>
  </si>
  <si>
    <t>Weighing Scale Digital Bathroom Body Fat Scale USB-Black</t>
  </si>
  <si>
    <t>KSh 1,580</t>
  </si>
  <si>
    <t>KSh 2,499</t>
  </si>
  <si>
    <t>4.7 out of 5</t>
  </si>
  <si>
    <t>Portable Home Small Air Humidifier 3-Speed Fan - Green</t>
  </si>
  <si>
    <t>KSh 1,740</t>
  </si>
  <si>
    <t>KSh 2,356</t>
  </si>
  <si>
    <t>4.8 out of 5</t>
  </si>
  <si>
    <t>220V 60W Electric Soldering Iron Kits With Tools, Tips, And Multimeter</t>
  </si>
  <si>
    <t>KSh 2,999</t>
  </si>
  <si>
    <t>KSh 3,290</t>
  </si>
  <si>
    <t>4 out of 5</t>
  </si>
  <si>
    <t>137 Pieces Cake Decorating Tool Set Baking Supplies</t>
  </si>
  <si>
    <t>KSh 2,319</t>
  </si>
  <si>
    <t>KSh 3,032</t>
  </si>
  <si>
    <t>Desk Foldable Fan Adjustable Fan Strong Wind 3 Gear Usb</t>
  </si>
  <si>
    <t>KSh 988</t>
  </si>
  <si>
    <t>LASA FOLDING TABLE SERVING STAND</t>
  </si>
  <si>
    <t>KSh 1,274</t>
  </si>
  <si>
    <t>KSh 2,800</t>
  </si>
  <si>
    <t>13 In 1 Home Repair Tools Box Kit Set</t>
  </si>
  <si>
    <t>KSh 1,600</t>
  </si>
  <si>
    <t>KSh 2,929</t>
  </si>
  <si>
    <t>3.8 out of 5</t>
  </si>
  <si>
    <t>Genebre 115 In 1 Screwdriver Repairing Tool Set For IPhone Cellphone Hand Tool</t>
  </si>
  <si>
    <t>KSh 799</t>
  </si>
  <si>
    <t>100 Pcs Crochet Hook Tool Set Knitting Hook Set With Box</t>
  </si>
  <si>
    <t>KSh 990</t>
  </si>
  <si>
    <t>KSh 1,500</t>
  </si>
  <si>
    <t>40cm Gold DIY Acrylic Wall Sticker Clock</t>
  </si>
  <si>
    <t>KSh 552</t>
  </si>
  <si>
    <t>KSh 1,035</t>
  </si>
  <si>
    <t>LASA Digital Thermometer And Hydrometer</t>
  </si>
  <si>
    <t>KSh 501</t>
  </si>
  <si>
    <t>KSh 860</t>
  </si>
  <si>
    <t>Multifunction Laser Level With Adjustment Tripod</t>
  </si>
  <si>
    <t>KSh 1,680</t>
  </si>
  <si>
    <t>4.2 out of 5</t>
  </si>
  <si>
    <t>Anti-Skid Absorbent Insulation Coaster  For Home Office</t>
  </si>
  <si>
    <t>KSh 332</t>
  </si>
  <si>
    <t>KSh 684</t>
  </si>
  <si>
    <t>5 out of 5</t>
  </si>
  <si>
    <t>Peacock  Throw Pillow Cushion Case For Home Car</t>
  </si>
  <si>
    <t>KSh 195</t>
  </si>
  <si>
    <t>KSh 360</t>
  </si>
  <si>
    <t>LASA Aluminum Folding Truck Hand Cart - 68kg Max</t>
  </si>
  <si>
    <t>KSh 2,025</t>
  </si>
  <si>
    <t>KSh 3,971</t>
  </si>
  <si>
    <t>LED Wall Digital Alarm Clock Study Home 12 / 24H Clock Calendar</t>
  </si>
  <si>
    <t>KSh 3,699</t>
  </si>
  <si>
    <t>3D Waterproof EVA Plastic Shower Curtain 1.8*2Mtrs</t>
  </si>
  <si>
    <t>KSh 998</t>
  </si>
  <si>
    <t>KSh 1,966</t>
  </si>
  <si>
    <t>3PCS Single Head Knitting Crochet Sweater Needle Set</t>
  </si>
  <si>
    <t>KSh 38</t>
  </si>
  <si>
    <t>KSh 80</t>
  </si>
  <si>
    <t>3.3 out of 5</t>
  </si>
  <si>
    <t>4pcs Bathroom/Kitchen Towel Rack,Roll Paper Holder,Towel Bars,Hook</t>
  </si>
  <si>
    <t>KSh 1,860</t>
  </si>
  <si>
    <t>KSh 3,220</t>
  </si>
  <si>
    <t>LED Romantic Spaceship Starry Sky Projector,Children's Bedroom Night Light-Blue</t>
  </si>
  <si>
    <t>KSh 880</t>
  </si>
  <si>
    <t>KSh 1,350</t>
  </si>
  <si>
    <t>Foldable Overbed Table/Desk</t>
  </si>
  <si>
    <t>KSh 1,650</t>
  </si>
  <si>
    <t>KSh 2,150</t>
  </si>
  <si>
    <t>4.4 out of 5</t>
  </si>
  <si>
    <t>LASA 3 Tier Bamboo Shoe Bench Storage Shelf</t>
  </si>
  <si>
    <t>KSh 2,048</t>
  </si>
  <si>
    <t>KSh 4,500</t>
  </si>
  <si>
    <t>4.3 out of 5</t>
  </si>
  <si>
    <t>Electronic Digital Display Vernier Caliper</t>
  </si>
  <si>
    <t>KSh 420</t>
  </si>
  <si>
    <t>KSh 647</t>
  </si>
  <si>
    <t>Portable Wardrobe Nonwoven With 3 Hanging Rods And 6 Storage Shelves</t>
  </si>
  <si>
    <t>KSh 2,880</t>
  </si>
  <si>
    <t>KSh 3,520</t>
  </si>
  <si>
    <t>12 Litre Black Insulated Lunch Box</t>
  </si>
  <si>
    <t>KSh 1,990</t>
  </si>
  <si>
    <t>52 Pieces Cake Decorating Tool Set Gift Kit Baking Supplies</t>
  </si>
  <si>
    <t>KSh 1,758</t>
  </si>
  <si>
    <t>MultiFunctional Storage Rack Multi-layer Bookshelf</t>
  </si>
  <si>
    <t>KSh 2,200</t>
  </si>
  <si>
    <t>KSh 4,080</t>
  </si>
  <si>
    <t>Exfoliate And Exfoliate Face Towel - Black</t>
  </si>
  <si>
    <t>KSh 185</t>
  </si>
  <si>
    <t>KSh 382</t>
  </si>
  <si>
    <t>12 Litre Insulated Lunch Box Grey</t>
  </si>
  <si>
    <t>KSh 980</t>
  </si>
  <si>
    <t>KSh 1,490</t>
  </si>
  <si>
    <t>LED Eye Protection  Desk Lamp , Study, Reading, USB Fan - Double Pen Holder</t>
  </si>
  <si>
    <t>KSh 1,820</t>
  </si>
  <si>
    <t>KSh 3,490</t>
  </si>
  <si>
    <t>53Pcs/Set Yarn Knitting Crochet Hooks With Bag - Fortune Cat</t>
  </si>
  <si>
    <t>KSh 1,940</t>
  </si>
  <si>
    <t>KSh 2,650</t>
  </si>
  <si>
    <t>53 Pieces/Set Yarn Knitting Crochet Hooks With Bag - Pansies</t>
  </si>
  <si>
    <t>KSh 1,980</t>
  </si>
  <si>
    <t>KSh 2,699</t>
  </si>
  <si>
    <t>DIY File Folder, Office Drawer File Holder, Pen Holder, Desktop Storage Rack</t>
  </si>
  <si>
    <t>KSh 1,620</t>
  </si>
  <si>
    <t>KSh 2,690</t>
  </si>
  <si>
    <t>Classic Black Cat Cotton Hemp Pillow Case For Home Car</t>
  </si>
  <si>
    <t>KSh 171</t>
  </si>
  <si>
    <t>Punch-free Great Load Bearing Bathroom Storage Rack Wall Shelf-White</t>
  </si>
  <si>
    <t>KSh 389</t>
  </si>
  <si>
    <t>KSh 656</t>
  </si>
  <si>
    <t>1/2/3 Seater Elastic Sofa Cover,Living Room/Home Decor Chair Cover-Grey</t>
  </si>
  <si>
    <t>KSh 1,620 - KSh 1,980</t>
  </si>
  <si>
    <t>KSh 2,200 - KSh 3,200</t>
  </si>
  <si>
    <t>LASA Stainless Steel Double Wall Mount Soap Dispenser - 500ml</t>
  </si>
  <si>
    <t>KSh 2,750</t>
  </si>
  <si>
    <t>KSh 4,471</t>
  </si>
  <si>
    <t>4M Float Switch Water Level Controller -Water Tank</t>
  </si>
  <si>
    <t>KSh 475</t>
  </si>
  <si>
    <t>KSh 931</t>
  </si>
  <si>
    <t>Modern Sofa Throw Pillow Cover-45x45cm-Blue&amp;Red</t>
  </si>
  <si>
    <t>KSh 238</t>
  </si>
  <si>
    <t>KSh 476</t>
  </si>
  <si>
    <t>Balloon Insert, Birthday Party Balloon Set, PU Leather</t>
  </si>
  <si>
    <t>KSh 610</t>
  </si>
  <si>
    <t>KSh 1,060</t>
  </si>
  <si>
    <t>Shower Cap Wide Elastic Band Cover Reusable Bashroom Cap</t>
  </si>
  <si>
    <t>KSh 2,132</t>
  </si>
  <si>
    <t>KSh 2,169</t>
  </si>
  <si>
    <t>Christmas Elk Fence Yard Lawn Decorations Cute For Holidays</t>
  </si>
  <si>
    <t>KSh 2,000</t>
  </si>
  <si>
    <t>60W Hot Melt Glue Sprayer - Efficient And Stable Glue Dispensing</t>
  </si>
  <si>
    <t>KSh 1,190</t>
  </si>
  <si>
    <t>KSh 1,785</t>
  </si>
  <si>
    <t>Car Phone Charging Stand</t>
  </si>
  <si>
    <t>KSh 671</t>
  </si>
  <si>
    <t>KSh 1,316</t>
  </si>
  <si>
    <t>2pcs Solar Street Light Flood Light Outdoor</t>
  </si>
  <si>
    <t>KSh 1,200</t>
  </si>
  <si>
    <t>KSh 1,950</t>
  </si>
  <si>
    <t>Creative Owl Shape Keychain Black</t>
  </si>
  <si>
    <t>KSh 199</t>
  </si>
  <si>
    <t>KSh 504</t>
  </si>
  <si>
    <t>Brush &amp; Paintbrush Cleaning Tool Pink</t>
  </si>
  <si>
    <t>KSh 299</t>
  </si>
  <si>
    <t>KSh 600</t>
  </si>
  <si>
    <t>Pen Grips For Kids Pen Grip Posture Correction Tool For Kids</t>
  </si>
  <si>
    <t>KSh 1,660</t>
  </si>
  <si>
    <t>KSh 1,699</t>
  </si>
  <si>
    <t>Pilates Cloth Bag Waterproof Durable High Capacity Purple</t>
  </si>
  <si>
    <t>KSh 384</t>
  </si>
  <si>
    <t>Multi-purpose Rice Drainage Basket And Fruit And Vegetable Drainage Sieve</t>
  </si>
  <si>
    <t>KSh 1,459</t>
  </si>
  <si>
    <t>KSh 1,499</t>
  </si>
  <si>
    <t>Cute Christmas Fence Garden Decorations For Holiday Home</t>
  </si>
  <si>
    <t>KSh 1,343</t>
  </si>
  <si>
    <t>Simple Metal Dog Art Sculpture Decoration For Home Office</t>
  </si>
  <si>
    <t>KSh 499</t>
  </si>
  <si>
    <t>KSh 900</t>
  </si>
  <si>
    <t>Christmas Fence Garden Decorations Outdoor For Holiday Home</t>
  </si>
  <si>
    <t>KSh 699</t>
  </si>
  <si>
    <t>Angle Measuring Tool Full Metal Multi Angle Measuring Tool</t>
  </si>
  <si>
    <t>KSh 1,567</t>
  </si>
  <si>
    <t>12V 19500rpm Handheld Electric Angle Grinder Tool - UK - Yellow/Black</t>
  </si>
  <si>
    <t>KSh 2,799</t>
  </si>
  <si>
    <t>KSh 3,810</t>
  </si>
  <si>
    <t>KSh 399</t>
  </si>
  <si>
    <t>KSh 896</t>
  </si>
  <si>
    <t>5 Pieces/set Of Stainless Steel Induction Cooker Pots</t>
  </si>
  <si>
    <t>KSh 2,170</t>
  </si>
  <si>
    <t>KSh 2,500</t>
  </si>
  <si>
    <t>2.5 out of 5</t>
  </si>
  <si>
    <t>Mythco 120COB Solar Wall Ligt With Motion Sensor And Remote Control 3 Modes</t>
  </si>
  <si>
    <t>KSh 458</t>
  </si>
  <si>
    <t>KSh 986</t>
  </si>
  <si>
    <t>3 out of 5</t>
  </si>
  <si>
    <t>5-PCS Stainless Steel Cooking Pot Set With Steamed Slices</t>
  </si>
  <si>
    <t>KSh 2,115</t>
  </si>
  <si>
    <t>KSh 4,700</t>
  </si>
  <si>
    <t>2.1 out of 5</t>
  </si>
  <si>
    <t>120W Cordless Vacuum Cleaners Handheld Electric Vacuum Cleaner</t>
  </si>
  <si>
    <t>KSh 445</t>
  </si>
  <si>
    <t>KSh 873</t>
  </si>
  <si>
    <t>2.8 out of 5</t>
  </si>
  <si>
    <t>Intelligent  LED Body Sensor Wireless Lighting Night Light USB</t>
  </si>
  <si>
    <t>KSh 325</t>
  </si>
  <si>
    <t>KSh 680</t>
  </si>
  <si>
    <t>2.7 out of 5</t>
  </si>
  <si>
    <t>VIC Wireless Vacuum Cleaner Dual Use For Home And Car 120W High Power Powerful</t>
  </si>
  <si>
    <t>KSh 1,220</t>
  </si>
  <si>
    <t>KSh 1,555</t>
  </si>
  <si>
    <t>2.9 out of 5</t>
  </si>
  <si>
    <t>Artificial Potted Flowers Room Decorative Flowers (2 Pieces)</t>
  </si>
  <si>
    <t>KSh 1,814</t>
  </si>
  <si>
    <t>2.2 out of 5</t>
  </si>
  <si>
    <t>380ML USB Rechargeable Portable Small Blenders And Juicers</t>
  </si>
  <si>
    <t>KSh 1,000</t>
  </si>
  <si>
    <t>2.3 out of 5</t>
  </si>
  <si>
    <t>32PCS Portable Cordless Drill Set With Cyclic Battery Drive -26 Variable Speed</t>
  </si>
  <si>
    <t>KSh 3,750</t>
  </si>
  <si>
    <t>KSh 6,143</t>
  </si>
  <si>
    <t>Agapeon Toothbrush Holder And Toothpaste Dispenser</t>
  </si>
  <si>
    <t>KSh 700</t>
  </si>
  <si>
    <t>2.6 out of 5</t>
  </si>
  <si>
    <t>Large Lazy Inflatable Sofa Chairs PVC Lounger Seat Bag</t>
  </si>
  <si>
    <t>KSh 2,300</t>
  </si>
  <si>
    <t>KSh 3,240</t>
  </si>
  <si>
    <t>Watercolour Gold Foil Textured Print Pillow Cover</t>
  </si>
  <si>
    <t>KSh 345</t>
  </si>
  <si>
    <t>KSh 602</t>
  </si>
  <si>
    <t>Wrought Iron Bathroom Shelf Wall Mounted Free Punch Toilet Rack</t>
  </si>
  <si>
    <t>KSh 509</t>
  </si>
  <si>
    <t>KSh 899</t>
  </si>
  <si>
    <t>7-piece Set Of Storage Bags, Travel Storage Bags, Shoe Bags</t>
  </si>
  <si>
    <t>KSh 968</t>
  </si>
  <si>
    <t>Electric LED UV Mosquito Killer Lamp, Outdoor/Indoor Fly Killer Trap Light -USB</t>
  </si>
  <si>
    <t>KSh 1,570</t>
  </si>
  <si>
    <t>KSh 2,988</t>
  </si>
  <si>
    <t>2PCS/LOT Solar LED Outdoor Intelligent Light Controlled Wall Lamp</t>
  </si>
  <si>
    <t>KSh 790</t>
  </si>
  <si>
    <t>KSh 1,485</t>
  </si>
  <si>
    <t>3PCS Rotary Scraper Thermomix For Kitchen</t>
  </si>
  <si>
    <t>KSh 690</t>
  </si>
  <si>
    <t>Cushion Silicone Butt Cushion Summer Ice Cushion Honeycomb Gel Cushion</t>
  </si>
  <si>
    <t>KSh 1,732</t>
  </si>
  <si>
    <t>KSh 1,799</t>
  </si>
  <si>
    <t>7PCS Silicone Thumb Knife Finger Protector Vegetable Harvesting Knife</t>
  </si>
  <si>
    <t>KSh 230</t>
  </si>
  <si>
    <t>KSh 450</t>
  </si>
  <si>
    <t>Memory Foam Neck Pillow Cover, With Pillow Core - 50*30cm</t>
  </si>
  <si>
    <t>KSh 1,189</t>
  </si>
  <si>
    <t>Bedroom Simple Floor Hanging Clothes Rack Single Pole Hat Rack - White</t>
  </si>
  <si>
    <t>KSh 979</t>
  </si>
  <si>
    <t>KSh 1,920</t>
  </si>
  <si>
    <t>5m Waterproof Spherical LED String Lights Outdoor Ball Chain Lights Party Lighting Decoration Adjustable</t>
  </si>
  <si>
    <t>KSh 1,460</t>
  </si>
  <si>
    <t>KSh 2,290</t>
  </si>
  <si>
    <t>2 Pairs Cowhide Split Leather Work Gloves.32â„‰ Or Above Welding Gloves</t>
  </si>
  <si>
    <t>KSh 1,666</t>
  </si>
  <si>
    <t>Household Pineapple Peeler Peeler</t>
  </si>
  <si>
    <t>KSh 330</t>
  </si>
  <si>
    <t>KSh 176</t>
  </si>
  <si>
    <t>Office Chair Lumbar Back Support Spine Posture Correction Pillow Car Cushion</t>
  </si>
  <si>
    <t>KSh 1,466</t>
  </si>
  <si>
    <t>Cartoon Car Decoration Cute Individuality For Car Home Desk</t>
  </si>
  <si>
    <t>KSh 274</t>
  </si>
  <si>
    <t>KSh 537</t>
  </si>
  <si>
    <t>Outdoor Portable Water Bottle With Medicine Box - 600ML - Black</t>
  </si>
  <si>
    <t>KSh 657</t>
  </si>
  <si>
    <t>KSh 1,288</t>
  </si>
  <si>
    <t>Wall-Mounted Toothbrush Toothpaste Holder With Multiple Slots</t>
  </si>
  <si>
    <t>KSh 1,468</t>
  </si>
  <si>
    <t>Multifunctional Hanging Storage Box Storage Bag (4 Layers)</t>
  </si>
  <si>
    <t>KSh 630</t>
  </si>
  <si>
    <t>KSh 1,100</t>
  </si>
  <si>
    <t>Wall Clock With Hidden Safe Box</t>
  </si>
  <si>
    <t>KSh 850</t>
  </si>
  <si>
    <t>KSh 1,700</t>
  </si>
  <si>
    <t>Portable Wine Table With Folding Round Table</t>
  </si>
  <si>
    <t>KSh 1,300</t>
  </si>
  <si>
    <t>Sewing Machine Needle Threader Stitch Insertion Tool Automatic Quick Sewing</t>
  </si>
  <si>
    <t>KSh 105</t>
  </si>
  <si>
    <t>KSh 200</t>
  </si>
  <si>
    <t>6 Layers Steel Pipe Assembling Dustproof Storage Shoe Cabinet</t>
  </si>
  <si>
    <t>2PCS Ice Silk Square Cushion Cover Pillowcases - 65x65cm</t>
  </si>
  <si>
    <t>KSh 2,400</t>
  </si>
  <si>
    <t>Wall Mount Automatic Toothpaste Dispenser Toothbrush Holder Toothpaste Squeezer</t>
  </si>
  <si>
    <t>KSh 1,526</t>
  </si>
  <si>
    <t>Portable Soap Dispenser Kitchen Detergent Press Box Kitchen Tools</t>
  </si>
  <si>
    <t>KSh 1,462</t>
  </si>
  <si>
    <t>4 Piece Coloured Stainless Steel Kitchenware Set</t>
  </si>
  <si>
    <t>KSh 248</t>
  </si>
  <si>
    <t>KSh 486</t>
  </si>
  <si>
    <t>Metal Wall Clock Silver Dial Crystal Jewelry Round Home Decoration Wall Clock</t>
  </si>
  <si>
    <t>KSh 3,546</t>
  </si>
  <si>
    <t>Baby Early Education Shape And Color Cognitive Training Toys</t>
  </si>
  <si>
    <t>KSh 525</t>
  </si>
  <si>
    <t>KSh 1,029</t>
  </si>
  <si>
    <t>8in1 Screwdriver With LED Light</t>
  </si>
  <si>
    <t>KSh 1,080</t>
  </si>
  <si>
    <t>KSh 1,874</t>
  </si>
  <si>
    <t>Konka Healty Electric Kettle, 24-hour Heat Preservation,1.5L,800W, White</t>
  </si>
  <si>
    <t>KSh 3,640</t>
  </si>
  <si>
    <t>KSh 4,588</t>
  </si>
  <si>
    <t>9pcs Gas Mask, For Painting, Dust, Formaldehyde Grinding, Polishing</t>
  </si>
  <si>
    <t>KSh 1,420</t>
  </si>
  <si>
    <t>KSh 2,420</t>
  </si>
  <si>
    <t>24 Grid Wall-mounted Sundries Organiser Fabric Closet Bag Storage Rack</t>
  </si>
  <si>
    <t>KSh 1,875</t>
  </si>
  <si>
    <t>KSh 1,899</t>
  </si>
  <si>
    <t>1PC Refrigerator Food Seal Pocket Fridge Bags</t>
  </si>
  <si>
    <t>KSh 198</t>
  </si>
  <si>
    <t>KSh 260</t>
  </si>
  <si>
    <t>LED Solar Street Light-fake Camera</t>
  </si>
  <si>
    <t>KSh 1,150</t>
  </si>
  <si>
    <t>KSh 1,737</t>
  </si>
  <si>
    <t>Cartoon Embroidered Mini Towel Bear Cotton Wash Cloth Hand 4pcs</t>
  </si>
  <si>
    <t>KSh 1,810</t>
  </si>
  <si>
    <t>Shower Nozzle Cleaning Unclogging Needle Mini Crevice Small Hole Cleaning Brush</t>
  </si>
  <si>
    <t>KSh 1,658</t>
  </si>
  <si>
    <t>Thickening Multipurpose Non Stick Easy To Clean Heat Resistant Spoon Pad</t>
  </si>
  <si>
    <t>KSh 1,768</t>
  </si>
  <si>
    <t>6 In 1 Bottle Can Opener Multifunctional Easy Opener</t>
  </si>
  <si>
    <t>KSh 553</t>
  </si>
  <si>
    <t>Wall-mounted Sticker Punch-free Plug Fixer</t>
  </si>
  <si>
    <t>2 out of 5</t>
  </si>
  <si>
    <t>Black Simple Water Cup Wine Coaster Anti Slip Absorbent</t>
  </si>
  <si>
    <t>KSh 169</t>
  </si>
  <si>
    <t>KSh 320</t>
  </si>
  <si>
    <t>Old Price</t>
  </si>
  <si>
    <t>Ratings</t>
  </si>
  <si>
    <t>Discount Amount</t>
  </si>
  <si>
    <t>Rating Category</t>
  </si>
  <si>
    <t>Discount Category</t>
  </si>
  <si>
    <t>Price Categpry</t>
  </si>
  <si>
    <t>Total products</t>
  </si>
  <si>
    <t>Average current price</t>
  </si>
  <si>
    <t>Average old price</t>
  </si>
  <si>
    <t>Average discount %</t>
  </si>
  <si>
    <t>Average rating</t>
  </si>
  <si>
    <t>Total customer reviews</t>
  </si>
  <si>
    <t>Least expensive product</t>
  </si>
  <si>
    <t>Least expensive price</t>
  </si>
  <si>
    <t>Most expensive product</t>
  </si>
  <si>
    <t>Most expensive price</t>
  </si>
  <si>
    <t>Row Labels</t>
  </si>
  <si>
    <t>Grand Total</t>
  </si>
  <si>
    <t>High Discount</t>
  </si>
  <si>
    <t>Low Discount</t>
  </si>
  <si>
    <t>Medium Discount</t>
  </si>
  <si>
    <t>Average of Discount</t>
  </si>
  <si>
    <t>Average</t>
  </si>
  <si>
    <t>Excellent</t>
  </si>
  <si>
    <t>Poor</t>
  </si>
  <si>
    <t>Column1</t>
  </si>
  <si>
    <t>Rating</t>
  </si>
  <si>
    <t>Count of Product</t>
  </si>
  <si>
    <t>Average of Review</t>
  </si>
  <si>
    <t>Average of Ratings</t>
  </si>
  <si>
    <t>Discount Categories</t>
  </si>
  <si>
    <t>Column2</t>
  </si>
  <si>
    <t>Top 10 by Rating</t>
  </si>
  <si>
    <t>Review Count</t>
  </si>
  <si>
    <t>Top 10 by Discount</t>
  </si>
  <si>
    <t>Discount %</t>
  </si>
  <si>
    <t>Current Price</t>
  </si>
  <si>
    <t>High Discount + Low Rating</t>
  </si>
  <si>
    <t>Top 10 by Reviews</t>
  </si>
  <si>
    <t>Top 5 Lowest Ratings</t>
  </si>
  <si>
    <t>Strong Customer Engagement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</si>
</sst>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00"/>
    <numFmt numFmtId="166" formatCode="0.0%"/>
  </numFmts>
  <fonts count="24"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2"/>
      <color theme="1"/>
      <name val="Aptos Narrow"/>
      <family val="2"/>
      <scheme val="minor"/>
    </font>
    <font>
      <sz val="12"/>
      <color theme="1"/>
      <name val="Aptos"/>
      <family val="2"/>
    </font>
    <font>
      <b/>
      <sz val="12"/>
      <color rgb="FF1F4E78"/>
      <name val="Aptos Narrow"/>
      <family val="2"/>
      <scheme val="minor"/>
    </font>
    <font>
      <b/>
      <sz val="11"/>
      <color rgb="FFFFFFFF"/>
      <name val="Aptos Narrow"/>
      <family val="2"/>
      <scheme val="minor"/>
    </font>
    <font>
      <b/>
      <sz val="11"/>
      <color theme="4"/>
      <name val="Aptos Narrow"/>
      <family val="2"/>
      <scheme val="minor"/>
    </font>
    <font>
      <sz val="8"/>
      <name val="Aptos Narrow"/>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4472C4"/>
        <bgColor indexed="64"/>
      </patternFill>
    </fill>
    <fill>
      <patternFill patternType="solid">
        <fgColor theme="4" tint="0.79998168889431442"/>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style="thin">
        <color auto="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9">
    <xf numFmtId="0" fontId="0" fillId="0" borderId="0" xfId="0"/>
    <xf numFmtId="9" fontId="0" fillId="0" borderId="0" xfId="0" applyNumberFormat="1"/>
    <xf numFmtId="0" fontId="18" fillId="0" borderId="0" xfId="0" applyFont="1"/>
    <xf numFmtId="9" fontId="18" fillId="0" borderId="0" xfId="0" applyNumberFormat="1" applyFont="1"/>
    <xf numFmtId="1" fontId="18" fillId="0" borderId="0" xfId="0" applyNumberFormat="1" applyFont="1"/>
    <xf numFmtId="1" fontId="0" fillId="0" borderId="0" xfId="0" applyNumberFormat="1"/>
    <xf numFmtId="0" fontId="16" fillId="0" borderId="0" xfId="0" applyFont="1"/>
    <xf numFmtId="2" fontId="0" fillId="0" borderId="0" xfId="0" applyNumberFormat="1"/>
    <xf numFmtId="164" fontId="18" fillId="0" borderId="0" xfId="0" applyNumberFormat="1" applyFont="1"/>
    <xf numFmtId="164" fontId="0" fillId="0" borderId="0" xfId="0" applyNumberFormat="1"/>
    <xf numFmtId="0" fontId="16" fillId="0" borderId="0" xfId="0" applyNumberFormat="1" applyFont="1"/>
    <xf numFmtId="0" fontId="0" fillId="0" borderId="0" xfId="0" applyNumberFormat="1"/>
    <xf numFmtId="0" fontId="19" fillId="0" borderId="0" xfId="0" applyFont="1" applyAlignment="1">
      <alignment vertical="center"/>
    </xf>
    <xf numFmtId="165" fontId="18" fillId="0" borderId="0" xfId="0" applyNumberFormat="1" applyFont="1"/>
    <xf numFmtId="165" fontId="0" fillId="0" borderId="0" xfId="0" applyNumberFormat="1"/>
    <xf numFmtId="165" fontId="16" fillId="0" borderId="0" xfId="0" applyNumberFormat="1" applyFont="1"/>
    <xf numFmtId="0" fontId="0" fillId="0" borderId="0" xfId="0"/>
    <xf numFmtId="0" fontId="0" fillId="0" borderId="10" xfId="0" applyBorder="1" applyAlignment="1">
      <alignment vertical="top"/>
    </xf>
    <xf numFmtId="9" fontId="0" fillId="0" borderId="10" xfId="0" applyNumberFormat="1" applyBorder="1"/>
    <xf numFmtId="3" fontId="0" fillId="0" borderId="10" xfId="0" applyNumberFormat="1" applyBorder="1"/>
    <xf numFmtId="4" fontId="0" fillId="0" borderId="10" xfId="0" applyNumberFormat="1" applyBorder="1"/>
    <xf numFmtId="0" fontId="20" fillId="0" borderId="0" xfId="0" applyFont="1"/>
    <xf numFmtId="0" fontId="21" fillId="33" borderId="10" xfId="0" applyFont="1" applyFill="1" applyBorder="1" applyAlignment="1">
      <alignment horizontal="center" vertical="center"/>
    </xf>
    <xf numFmtId="0" fontId="0" fillId="0" borderId="0" xfId="0" pivotButton="1"/>
    <xf numFmtId="0" fontId="0" fillId="0" borderId="0" xfId="0" applyAlignment="1">
      <alignment horizontal="left"/>
    </xf>
    <xf numFmtId="0" fontId="22" fillId="0" borderId="0" xfId="0" applyFont="1"/>
    <xf numFmtId="166" fontId="0" fillId="0" borderId="0" xfId="0" applyNumberFormat="1"/>
    <xf numFmtId="0" fontId="16" fillId="34" borderId="10" xfId="0" applyFont="1" applyFill="1" applyBorder="1" applyAlignment="1">
      <alignment horizontal="center" vertical="center"/>
    </xf>
    <xf numFmtId="0" fontId="16" fillId="34" borderId="0" xfId="0" applyFont="1" applyFill="1"/>
    <xf numFmtId="0" fontId="0" fillId="0" borderId="10" xfId="0" applyBorder="1"/>
    <xf numFmtId="2" fontId="0" fillId="0" borderId="10" xfId="0" applyNumberFormat="1" applyBorder="1"/>
    <xf numFmtId="2" fontId="16" fillId="34" borderId="10" xfId="0" applyNumberFormat="1" applyFont="1" applyFill="1" applyBorder="1" applyAlignment="1">
      <alignment horizontal="center" vertical="center"/>
    </xf>
    <xf numFmtId="0" fontId="0" fillId="34" borderId="0" xfId="0" applyFont="1" applyFill="1"/>
    <xf numFmtId="2" fontId="0" fillId="34" borderId="0" xfId="0" applyNumberFormat="1" applyFont="1" applyFill="1"/>
    <xf numFmtId="4" fontId="0" fillId="0" borderId="0" xfId="0" applyNumberFormat="1"/>
    <xf numFmtId="3" fontId="16" fillId="0" borderId="0" xfId="0" applyNumberFormat="1" applyFont="1"/>
    <xf numFmtId="3" fontId="0" fillId="0" borderId="0" xfId="0" applyNumberFormat="1"/>
    <xf numFmtId="4" fontId="0" fillId="0" borderId="10" xfId="0" applyNumberFormat="1" applyBorder="1" applyAlignment="1">
      <alignment vertical="top"/>
    </xf>
    <xf numFmtId="4" fontId="16" fillId="34" borderId="10" xfId="0" applyNumberFormat="1" applyFont="1" applyFill="1" applyBorder="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2">
    <dxf>
      <numFmt numFmtId="4" formatCode="#,##0.00"/>
    </dxf>
    <dxf>
      <numFmt numFmtId="4" formatCode="#,##0.00"/>
    </dxf>
    <dxf>
      <numFmt numFmtId="4" formatCode="#,##0.00"/>
    </dxf>
    <dxf>
      <numFmt numFmtId="4" formatCode="#,##0.00"/>
    </dxf>
    <dxf>
      <numFmt numFmtId="3" formatCode="#,##0"/>
    </dxf>
    <dxf>
      <numFmt numFmtId="0" formatCode="General"/>
    </dxf>
    <dxf>
      <numFmt numFmtId="164" formatCode="0.0"/>
    </dxf>
    <dxf>
      <font>
        <b val="0"/>
        <i val="0"/>
        <strike val="0"/>
        <condense val="0"/>
        <extend val="0"/>
        <outline val="0"/>
        <shadow val="0"/>
        <u val="none"/>
        <vertAlign val="baseline"/>
        <sz val="12"/>
        <color theme="1"/>
        <name val="Aptos"/>
        <family val="2"/>
        <scheme val="none"/>
      </font>
      <alignment horizontal="general" vertical="center" textRotation="0" wrapText="0" indent="0" justifyLastLine="0" shrinkToFit="0" readingOrder="0"/>
    </dxf>
    <dxf>
      <numFmt numFmtId="0" formatCode="General"/>
    </dxf>
    <dxf>
      <numFmt numFmtId="165" formatCode="#,##0.000"/>
    </dxf>
    <dxf>
      <numFmt numFmtId="164" formatCode="0.0"/>
    </dxf>
    <dxf>
      <numFmt numFmtId="1" formatCode="0"/>
    </dxf>
    <dxf>
      <numFmt numFmtId="13" formatCode="0%"/>
    </dxf>
    <dxf>
      <numFmt numFmtId="165" formatCode="#,##0.000"/>
    </dxf>
    <dxf>
      <numFmt numFmtId="165" formatCode="#,##0.000"/>
    </dxf>
    <dxf>
      <numFmt numFmtId="1" formatCode="0"/>
    </dxf>
    <dxf>
      <font>
        <b val="0"/>
        <i val="0"/>
        <strike val="0"/>
        <condense val="0"/>
        <extend val="0"/>
        <outline val="0"/>
        <shadow val="0"/>
        <u val="none"/>
        <vertAlign val="baseline"/>
        <sz val="12"/>
        <color theme="1"/>
        <name val="Aptos"/>
        <family val="2"/>
        <scheme val="none"/>
      </font>
      <alignment horizontal="general" vertical="center" textRotation="0" wrapText="0" indent="0" justifyLastLine="0" shrinkToFit="0" readingOrder="0"/>
    </dxf>
    <dxf>
      <numFmt numFmtId="1" formatCode="0"/>
    </dxf>
    <dxf>
      <numFmt numFmtId="13" formatCode="0%"/>
    </dxf>
    <dxf>
      <numFmt numFmtId="165" formatCode="#,##0.000"/>
    </dxf>
    <dxf>
      <numFmt numFmtId="165" formatCode="#,##0.000"/>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4.xml"/><Relationship Id="rId18" Type="http://schemas.microsoft.com/office/2007/relationships/slicerCache" Target="slicerCaches/slicerCache5.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pivotCacheDefinition" Target="pivotCache/pivotCacheDefinition3.xml"/><Relationship Id="rId17" Type="http://schemas.microsoft.com/office/2007/relationships/slicerCache" Target="slicerCaches/slicerCache4.xml"/><Relationship Id="rId2" Type="http://schemas.openxmlformats.org/officeDocument/2006/relationships/worksheet" Target="worksheets/sheet2.xml"/><Relationship Id="rId16" Type="http://schemas.microsoft.com/office/2007/relationships/slicerCache" Target="slicerCaches/slicerCache3.xml"/><Relationship Id="rId20" Type="http://schemas.microsoft.com/office/2007/relationships/slicerCache" Target="slicerCaches/slicerCache7.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24" Type="http://schemas.openxmlformats.org/officeDocument/2006/relationships/calcChain" Target="calcChain.xml"/><Relationship Id="rId5" Type="http://schemas.openxmlformats.org/officeDocument/2006/relationships/worksheet" Target="worksheets/sheet5.xml"/><Relationship Id="rId15" Type="http://schemas.microsoft.com/office/2007/relationships/slicerCache" Target="slicerCaches/slicerCache2.xml"/><Relationship Id="rId23" Type="http://schemas.openxmlformats.org/officeDocument/2006/relationships/sharedStrings" Target="sharedStrings.xml"/><Relationship Id="rId10" Type="http://schemas.openxmlformats.org/officeDocument/2006/relationships/pivotCacheDefinition" Target="pivotCache/pivotCacheDefinition1.xml"/><Relationship Id="rId19" Type="http://schemas.microsoft.com/office/2007/relationships/slicerCache" Target="slicerCaches/slicerCache6.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 Id="rId22" Type="http://schemas.openxmlformats.org/officeDocument/2006/relationships/styles" Target="styles.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[Jumia Excel Dataset.xlsx]Rating Category!PivotTable6</c:name>
    <c:fmtId val="0"/>
  </c:pivotSource>
  <c:chart>
    <c:title>
      <c:tx>
        <c:rich>
          <a:bodyPr rot="0" spcFirstLastPara="1" vertOverflow="ellipsis" vert="horz" wrap="square" anchor="ctr" anchorCtr="1"/>
          <a:lstStyle/>
          <a:p>
            <a:pPr>
              <a:defRPr sz="1800" b="1" i="0" u="none" strike="noStrike" kern="1200" cap="all" baseline="0">
                <a:solidFill>
                  <a:schemeClr val="tx1">
                    <a:lumMod val="65000"/>
                    <a:lumOff val="35000"/>
                  </a:schemeClr>
                </a:solidFill>
                <a:latin typeface="+mn-lt"/>
                <a:ea typeface="+mn-ea"/>
                <a:cs typeface="+mn-cs"/>
              </a:defRPr>
            </a:pPr>
            <a:r>
              <a:rPr lang="en-US"/>
              <a:t>Rating Category</a:t>
            </a:r>
          </a:p>
        </c:rich>
      </c:tx>
      <c:overlay val="0"/>
      <c:spPr>
        <a:noFill/>
        <a:ln>
          <a:noFill/>
        </a:ln>
        <a:effectLst/>
      </c:spPr>
    </c:title>
    <c:autoTitleDeleted val="0"/>
    <c:pivotFmts>
      <c:pivotFmt>
        <c:idx val="0"/>
        <c:marker>
          <c:symbol val="none"/>
        </c:marker>
        <c:dLbl>
          <c:idx val="0"/>
          <c:spPr>
            <a:solidFill>
              <a:sysClr val="window" lastClr="FFFFFF">
                <a:alpha val="90000"/>
              </a:sysClr>
            </a:solidFill>
            <a:ln w="12700" cap="flat" cmpd="sng" algn="ctr">
              <a:solidFill>
                <a:srgbClr val="156082">
                  <a:shade val="65000"/>
                </a:srgbClr>
              </a:solidFill>
              <a:round/>
            </a:ln>
            <a:effectLst>
              <a:outerShdw blurRad="50800" dist="38100" dir="2700000" algn="tl" rotWithShape="0">
                <a:srgbClr val="156082">
                  <a:shade val="65000"/>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hade val="65000"/>
                    </a:schemeClr>
                  </a:solidFill>
                  <a:effectLst/>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
        <c:marker>
          <c:symbol val="none"/>
        </c:marker>
        <c:dLbl>
          <c:idx val="0"/>
          <c:spPr>
            <a:solidFill>
              <a:sysClr val="window" lastClr="FFFFFF">
                <a:alpha val="90000"/>
              </a:sysClr>
            </a:solidFill>
            <a:ln w="12700" cap="flat" cmpd="sng" algn="ctr">
              <a:solidFill>
                <a:srgbClr val="156082"/>
              </a:solidFill>
              <a:round/>
            </a:ln>
            <a:effectLst>
              <a:outerShdw blurRad="50800" dist="38100" dir="2700000" algn="tl" rotWithShape="0">
                <a:srgbClr val="156082">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2"/>
        <c:marker>
          <c:symbol val="none"/>
        </c:marker>
        <c:dLbl>
          <c:idx val="0"/>
          <c:spPr>
            <a:solidFill>
              <a:sysClr val="window" lastClr="FFFFFF">
                <a:alpha val="90000"/>
              </a:sysClr>
            </a:solidFill>
            <a:ln w="12700" cap="flat" cmpd="sng" algn="ctr">
              <a:solidFill>
                <a:srgbClr val="156082">
                  <a:tint val="65000"/>
                </a:srgbClr>
              </a:solidFill>
              <a:round/>
            </a:ln>
            <a:effectLst>
              <a:outerShdw blurRad="50800" dist="38100" dir="2700000" algn="tl" rotWithShape="0">
                <a:srgbClr val="156082">
                  <a:tint val="65000"/>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tint val="65000"/>
                    </a:schemeClr>
                  </a:solidFill>
                  <a:effectLst/>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3"/>
        <c:spPr>
          <a:solidFill>
            <a:schemeClr val="accent1">
              <a:shade val="65000"/>
              <a:alpha val="90000"/>
            </a:schemeClr>
          </a:solidFill>
          <a:ln w="19050">
            <a:solidFill>
              <a:schemeClr val="accent1">
                <a:shade val="65000"/>
                <a:lumMod val="75000"/>
              </a:schemeClr>
            </a:solidFill>
          </a:ln>
          <a:effectLst>
            <a:innerShdw blurRad="114300">
              <a:schemeClr val="accent1">
                <a:shade val="65000"/>
                <a:lumMod val="75000"/>
              </a:schemeClr>
            </a:innerShdw>
          </a:effectLst>
          <a:scene3d>
            <a:camera prst="orthographicFront"/>
            <a:lightRig rig="threePt" dir="t"/>
          </a:scene3d>
          <a:sp3d contourW="19050" prstMaterial="flat">
            <a:contourClr>
              <a:schemeClr val="accent1">
                <a:shade val="65000"/>
                <a:lumMod val="75000"/>
              </a:schemeClr>
            </a:contourClr>
          </a:sp3d>
        </c:spPr>
      </c:pivotFmt>
      <c:pivotFmt>
        <c:idx val="4"/>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pivotFmt>
      <c:pivotFmt>
        <c:idx val="5"/>
        <c:spPr>
          <a:solidFill>
            <a:schemeClr val="accent1">
              <a:tint val="65000"/>
              <a:alpha val="90000"/>
            </a:schemeClr>
          </a:solidFill>
          <a:ln w="19050">
            <a:solidFill>
              <a:schemeClr val="accent1">
                <a:tint val="65000"/>
                <a:lumMod val="75000"/>
              </a:schemeClr>
            </a:solidFill>
          </a:ln>
          <a:effectLst>
            <a:innerShdw blurRad="114300">
              <a:schemeClr val="accent1">
                <a:tint val="65000"/>
                <a:lumMod val="75000"/>
              </a:schemeClr>
            </a:innerShdw>
          </a:effectLst>
          <a:scene3d>
            <a:camera prst="orthographicFront"/>
            <a:lightRig rig="threePt" dir="t"/>
          </a:scene3d>
          <a:sp3d contourW="19050" prstMaterial="flat">
            <a:contourClr>
              <a:schemeClr val="accent1">
                <a:tint val="65000"/>
                <a:lumMod val="75000"/>
              </a:schemeClr>
            </a:contourClr>
          </a:sp3d>
        </c:spPr>
      </c:pivotFmt>
      <c:pivotFmt>
        <c:idx val="6"/>
        <c:spPr>
          <a:solidFill>
            <a:schemeClr val="accent1">
              <a:shade val="65000"/>
              <a:alpha val="90000"/>
            </a:schemeClr>
          </a:solidFill>
          <a:ln w="19050">
            <a:solidFill>
              <a:schemeClr val="accent1">
                <a:shade val="65000"/>
                <a:lumMod val="75000"/>
              </a:schemeClr>
            </a:solidFill>
          </a:ln>
          <a:effectLst>
            <a:innerShdw blurRad="114300">
              <a:schemeClr val="accent1">
                <a:shade val="65000"/>
                <a:lumMod val="75000"/>
              </a:schemeClr>
            </a:innerShdw>
          </a:effectLst>
          <a:scene3d>
            <a:camera prst="orthographicFront"/>
            <a:lightRig rig="threePt" dir="t"/>
          </a:scene3d>
          <a:sp3d contourW="19050" prstMaterial="flat">
            <a:contourClr>
              <a:schemeClr val="accent1">
                <a:shade val="65000"/>
                <a:lumMod val="75000"/>
              </a:schemeClr>
            </a:contourClr>
          </a:sp3d>
        </c:spPr>
      </c:pivotFmt>
      <c:pivotFmt>
        <c:idx val="7"/>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pivotFmt>
      <c:pivotFmt>
        <c:idx val="8"/>
        <c:spPr>
          <a:solidFill>
            <a:schemeClr val="accent1">
              <a:tint val="65000"/>
              <a:alpha val="90000"/>
            </a:schemeClr>
          </a:solidFill>
          <a:ln w="19050">
            <a:solidFill>
              <a:schemeClr val="accent1">
                <a:tint val="65000"/>
                <a:lumMod val="75000"/>
              </a:schemeClr>
            </a:solidFill>
          </a:ln>
          <a:effectLst>
            <a:innerShdw blurRad="114300">
              <a:schemeClr val="accent1">
                <a:tint val="65000"/>
                <a:lumMod val="75000"/>
              </a:schemeClr>
            </a:innerShdw>
          </a:effectLst>
          <a:scene3d>
            <a:camera prst="orthographicFront"/>
            <a:lightRig rig="threePt" dir="t"/>
          </a:scene3d>
          <a:sp3d contourW="19050" prstMaterial="flat">
            <a:contourClr>
              <a:schemeClr val="accent1">
                <a:tint val="65000"/>
                <a:lumMod val="75000"/>
              </a:schemeClr>
            </a:contourClr>
          </a:sp3d>
        </c:spPr>
      </c:pivotFmt>
      <c:pivotFmt>
        <c:idx val="9"/>
        <c:spPr>
          <a:solidFill>
            <a:schemeClr val="accent1">
              <a:shade val="65000"/>
              <a:alpha val="90000"/>
            </a:schemeClr>
          </a:solidFill>
          <a:ln w="19050">
            <a:solidFill>
              <a:schemeClr val="accent1">
                <a:shade val="65000"/>
                <a:lumMod val="75000"/>
              </a:schemeClr>
            </a:solidFill>
          </a:ln>
          <a:effectLst>
            <a:innerShdw blurRad="114300">
              <a:schemeClr val="accent1">
                <a:shade val="65000"/>
                <a:lumMod val="75000"/>
              </a:schemeClr>
            </a:innerShdw>
          </a:effectLst>
          <a:scene3d>
            <a:camera prst="orthographicFront"/>
            <a:lightRig rig="threePt" dir="t"/>
          </a:scene3d>
          <a:sp3d contourW="19050" prstMaterial="flat">
            <a:contourClr>
              <a:schemeClr val="accent1">
                <a:shade val="65000"/>
                <a:lumMod val="75000"/>
              </a:schemeClr>
            </a:contourClr>
          </a:sp3d>
        </c:spPr>
      </c:pivotFmt>
      <c:pivotFmt>
        <c:idx val="10"/>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pivotFmt>
      <c:pivotFmt>
        <c:idx val="11"/>
        <c:spPr>
          <a:solidFill>
            <a:schemeClr val="accent1">
              <a:tint val="65000"/>
              <a:alpha val="90000"/>
            </a:schemeClr>
          </a:solidFill>
          <a:ln w="19050">
            <a:solidFill>
              <a:schemeClr val="accent1">
                <a:tint val="65000"/>
                <a:lumMod val="75000"/>
              </a:schemeClr>
            </a:solidFill>
          </a:ln>
          <a:effectLst>
            <a:innerShdw blurRad="114300">
              <a:schemeClr val="accent1">
                <a:tint val="65000"/>
                <a:lumMod val="75000"/>
              </a:schemeClr>
            </a:innerShdw>
          </a:effectLst>
          <a:scene3d>
            <a:camera prst="orthographicFront"/>
            <a:lightRig rig="threePt" dir="t"/>
          </a:scene3d>
          <a:sp3d contourW="19050" prstMaterial="flat">
            <a:contourClr>
              <a:schemeClr val="accent1">
                <a:tint val="65000"/>
                <a:lumMod val="75000"/>
              </a:schemeClr>
            </a:contourClr>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'Rating Category'!$B$3</c:f>
              <c:strCache>
                <c:ptCount val="1"/>
                <c:pt idx="0">
                  <c:v>Count of Product</c:v>
                </c:pt>
              </c:strCache>
            </c:strRef>
          </c:tx>
          <c:dPt>
            <c:idx val="0"/>
            <c:bubble3D val="0"/>
            <c:spPr>
              <a:solidFill>
                <a:schemeClr val="accent1">
                  <a:shade val="65000"/>
                  <a:alpha val="90000"/>
                </a:schemeClr>
              </a:solidFill>
              <a:ln w="19050">
                <a:solidFill>
                  <a:schemeClr val="accent1">
                    <a:shade val="65000"/>
                    <a:lumMod val="75000"/>
                  </a:schemeClr>
                </a:solidFill>
              </a:ln>
              <a:effectLst>
                <a:innerShdw blurRad="114300">
                  <a:schemeClr val="accent1">
                    <a:shade val="65000"/>
                    <a:lumMod val="75000"/>
                  </a:schemeClr>
                </a:innerShdw>
              </a:effectLst>
              <a:scene3d>
                <a:camera prst="orthographicFront"/>
                <a:lightRig rig="threePt" dir="t"/>
              </a:scene3d>
              <a:sp3d contourW="19050" prstMaterial="flat">
                <a:contourClr>
                  <a:schemeClr val="accent1">
                    <a:shade val="65000"/>
                    <a:lumMod val="75000"/>
                  </a:schemeClr>
                </a:contourClr>
              </a:sp3d>
            </c:spPr>
            <c:extLst>
              <c:ext xmlns:c16="http://schemas.microsoft.com/office/drawing/2014/chart" uri="{C3380CC4-5D6E-409C-BE32-E72D297353CC}">
                <c16:uniqueId val="{00000004-192A-4D09-AB0F-F96000FB79E8}"/>
              </c:ext>
            </c:extLst>
          </c:dPt>
          <c:dPt>
            <c:idx val="1"/>
            <c:bubble3D val="0"/>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extLst>
              <c:ext xmlns:c16="http://schemas.microsoft.com/office/drawing/2014/chart" uri="{C3380CC4-5D6E-409C-BE32-E72D297353CC}">
                <c16:uniqueId val="{00000005-192A-4D09-AB0F-F96000FB79E8}"/>
              </c:ext>
            </c:extLst>
          </c:dPt>
          <c:dPt>
            <c:idx val="2"/>
            <c:bubble3D val="0"/>
            <c:spPr>
              <a:solidFill>
                <a:schemeClr val="accent1">
                  <a:tint val="65000"/>
                  <a:alpha val="90000"/>
                </a:schemeClr>
              </a:solidFill>
              <a:ln w="19050">
                <a:solidFill>
                  <a:schemeClr val="accent1">
                    <a:tint val="65000"/>
                    <a:lumMod val="75000"/>
                  </a:schemeClr>
                </a:solidFill>
              </a:ln>
              <a:effectLst>
                <a:innerShdw blurRad="114300">
                  <a:schemeClr val="accent1">
                    <a:tint val="65000"/>
                    <a:lumMod val="75000"/>
                  </a:schemeClr>
                </a:innerShdw>
              </a:effectLst>
              <a:scene3d>
                <a:camera prst="orthographicFront"/>
                <a:lightRig rig="threePt" dir="t"/>
              </a:scene3d>
              <a:sp3d contourW="19050" prstMaterial="flat">
                <a:contourClr>
                  <a:schemeClr val="accent1">
                    <a:tint val="65000"/>
                    <a:lumMod val="75000"/>
                  </a:schemeClr>
                </a:contourClr>
              </a:sp3d>
            </c:spPr>
            <c:extLst>
              <c:ext xmlns:c16="http://schemas.microsoft.com/office/drawing/2014/chart" uri="{C3380CC4-5D6E-409C-BE32-E72D297353CC}">
                <c16:uniqueId val="{00000006-192A-4D09-AB0F-F96000FB79E8}"/>
              </c:ext>
            </c:extLst>
          </c:dPt>
          <c:dLbls>
            <c:spPr>
              <a:solidFill>
                <a:sysClr val="window" lastClr="FFFFFF">
                  <a:alpha val="90000"/>
                </a:sysClr>
              </a:solidFill>
              <a:ln w="12700" cap="flat" cmpd="sng" algn="ctr">
                <a:solidFill>
                  <a:srgbClr val="156082">
                    <a:shade val="65000"/>
                  </a:srgbClr>
                </a:solidFill>
                <a:round/>
              </a:ln>
              <a:effectLst>
                <a:outerShdw blurRad="50800" dist="38100" dir="2700000" algn="tl" rotWithShape="0">
                  <a:srgbClr val="156082">
                    <a:shade val="65000"/>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hade val="65000"/>
                      </a:schemeClr>
                    </a:solidFill>
                    <a:effectLst/>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c15:spPr>
              </c:ext>
            </c:extLst>
          </c:dLbls>
          <c:cat>
            <c:strRef>
              <c:f>'Rating Category'!$A$4:$A$7</c:f>
              <c:strCache>
                <c:ptCount val="3"/>
                <c:pt idx="0">
                  <c:v>Average</c:v>
                </c:pt>
                <c:pt idx="1">
                  <c:v>Excellent</c:v>
                </c:pt>
                <c:pt idx="2">
                  <c:v>Poor</c:v>
                </c:pt>
              </c:strCache>
            </c:strRef>
          </c:cat>
          <c:val>
            <c:numRef>
              <c:f>'Rating Category'!$B$4:$B$7</c:f>
              <c:numCache>
                <c:formatCode>General</c:formatCode>
                <c:ptCount val="3"/>
                <c:pt idx="0">
                  <c:v>22</c:v>
                </c:pt>
                <c:pt idx="1">
                  <c:v>22</c:v>
                </c:pt>
                <c:pt idx="2">
                  <c:v>12</c:v>
                </c:pt>
              </c:numCache>
            </c:numRef>
          </c:val>
          <c:extLst>
            <c:ext xmlns:c16="http://schemas.microsoft.com/office/drawing/2014/chart" uri="{C3380CC4-5D6E-409C-BE32-E72D297353CC}">
              <c16:uniqueId val="{00000000-192A-4D09-AB0F-F96000FB79E8}"/>
            </c:ext>
          </c:extLst>
        </c:ser>
        <c:ser>
          <c:idx val="1"/>
          <c:order val="1"/>
          <c:tx>
            <c:strRef>
              <c:f>'Rating Category'!$C$3</c:f>
              <c:strCache>
                <c:ptCount val="1"/>
                <c:pt idx="0">
                  <c:v>Average of Review</c:v>
                </c:pt>
              </c:strCache>
            </c:strRef>
          </c:tx>
          <c:dPt>
            <c:idx val="0"/>
            <c:bubble3D val="0"/>
            <c:spPr>
              <a:solidFill>
                <a:schemeClr val="accent1">
                  <a:shade val="65000"/>
                  <a:alpha val="90000"/>
                </a:schemeClr>
              </a:solidFill>
              <a:ln w="19050">
                <a:solidFill>
                  <a:schemeClr val="accent1">
                    <a:shade val="65000"/>
                    <a:lumMod val="75000"/>
                  </a:schemeClr>
                </a:solidFill>
              </a:ln>
              <a:effectLst>
                <a:innerShdw blurRad="114300">
                  <a:schemeClr val="accent1">
                    <a:shade val="65000"/>
                    <a:lumMod val="75000"/>
                  </a:schemeClr>
                </a:innerShdw>
              </a:effectLst>
              <a:scene3d>
                <a:camera prst="orthographicFront"/>
                <a:lightRig rig="threePt" dir="t"/>
              </a:scene3d>
              <a:sp3d contourW="19050" prstMaterial="flat">
                <a:contourClr>
                  <a:schemeClr val="accent1">
                    <a:shade val="65000"/>
                    <a:lumMod val="75000"/>
                  </a:schemeClr>
                </a:contourClr>
              </a:sp3d>
            </c:spPr>
            <c:extLst>
              <c:ext xmlns:c16="http://schemas.microsoft.com/office/drawing/2014/chart" uri="{C3380CC4-5D6E-409C-BE32-E72D297353CC}">
                <c16:uniqueId val="{00000007-192A-4D09-AB0F-F96000FB79E8}"/>
              </c:ext>
            </c:extLst>
          </c:dPt>
          <c:dPt>
            <c:idx val="1"/>
            <c:bubble3D val="0"/>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extLst>
              <c:ext xmlns:c16="http://schemas.microsoft.com/office/drawing/2014/chart" uri="{C3380CC4-5D6E-409C-BE32-E72D297353CC}">
                <c16:uniqueId val="{00000008-192A-4D09-AB0F-F96000FB79E8}"/>
              </c:ext>
            </c:extLst>
          </c:dPt>
          <c:dPt>
            <c:idx val="2"/>
            <c:bubble3D val="0"/>
            <c:spPr>
              <a:solidFill>
                <a:schemeClr val="accent1">
                  <a:tint val="65000"/>
                  <a:alpha val="90000"/>
                </a:schemeClr>
              </a:solidFill>
              <a:ln w="19050">
                <a:solidFill>
                  <a:schemeClr val="accent1">
                    <a:tint val="65000"/>
                    <a:lumMod val="75000"/>
                  </a:schemeClr>
                </a:solidFill>
              </a:ln>
              <a:effectLst>
                <a:innerShdw blurRad="114300">
                  <a:schemeClr val="accent1">
                    <a:tint val="65000"/>
                    <a:lumMod val="75000"/>
                  </a:schemeClr>
                </a:innerShdw>
              </a:effectLst>
              <a:scene3d>
                <a:camera prst="orthographicFront"/>
                <a:lightRig rig="threePt" dir="t"/>
              </a:scene3d>
              <a:sp3d contourW="19050" prstMaterial="flat">
                <a:contourClr>
                  <a:schemeClr val="accent1">
                    <a:tint val="65000"/>
                    <a:lumMod val="75000"/>
                  </a:schemeClr>
                </a:contourClr>
              </a:sp3d>
            </c:spPr>
            <c:extLst>
              <c:ext xmlns:c16="http://schemas.microsoft.com/office/drawing/2014/chart" uri="{C3380CC4-5D6E-409C-BE32-E72D297353CC}">
                <c16:uniqueId val="{00000009-192A-4D09-AB0F-F96000FB79E8}"/>
              </c:ext>
            </c:extLst>
          </c:dPt>
          <c:dLbls>
            <c:spPr>
              <a:solidFill>
                <a:sysClr val="window" lastClr="FFFFFF">
                  <a:alpha val="90000"/>
                </a:sysClr>
              </a:solidFill>
              <a:ln w="12700" cap="flat" cmpd="sng" algn="ctr">
                <a:solidFill>
                  <a:srgbClr val="156082"/>
                </a:solidFill>
                <a:round/>
              </a:ln>
              <a:effectLst>
                <a:outerShdw blurRad="50800" dist="38100" dir="2700000" algn="tl" rotWithShape="0">
                  <a:srgbClr val="156082">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c15:spPr>
              </c:ext>
            </c:extLst>
          </c:dLbls>
          <c:cat>
            <c:strRef>
              <c:f>'Rating Category'!$A$4:$A$7</c:f>
              <c:strCache>
                <c:ptCount val="3"/>
                <c:pt idx="0">
                  <c:v>Average</c:v>
                </c:pt>
                <c:pt idx="1">
                  <c:v>Excellent</c:v>
                </c:pt>
                <c:pt idx="2">
                  <c:v>Poor</c:v>
                </c:pt>
              </c:strCache>
            </c:strRef>
          </c:cat>
          <c:val>
            <c:numRef>
              <c:f>'Rating Category'!$C$4:$C$7</c:f>
              <c:numCache>
                <c:formatCode>0.0</c:formatCode>
                <c:ptCount val="3"/>
                <c:pt idx="0">
                  <c:v>10.136363636363637</c:v>
                </c:pt>
                <c:pt idx="1">
                  <c:v>14.954545454545455</c:v>
                </c:pt>
                <c:pt idx="2">
                  <c:v>14.083333333333334</c:v>
                </c:pt>
              </c:numCache>
            </c:numRef>
          </c:val>
          <c:extLst>
            <c:ext xmlns:c16="http://schemas.microsoft.com/office/drawing/2014/chart" uri="{C3380CC4-5D6E-409C-BE32-E72D297353CC}">
              <c16:uniqueId val="{00000001-192A-4D09-AB0F-F96000FB79E8}"/>
            </c:ext>
          </c:extLst>
        </c:ser>
        <c:ser>
          <c:idx val="2"/>
          <c:order val="2"/>
          <c:tx>
            <c:strRef>
              <c:f>'Rating Category'!$D$3</c:f>
              <c:strCache>
                <c:ptCount val="1"/>
                <c:pt idx="0">
                  <c:v>Average of Ratings</c:v>
                </c:pt>
              </c:strCache>
            </c:strRef>
          </c:tx>
          <c:dPt>
            <c:idx val="0"/>
            <c:bubble3D val="0"/>
            <c:spPr>
              <a:solidFill>
                <a:schemeClr val="accent1">
                  <a:shade val="65000"/>
                  <a:alpha val="90000"/>
                </a:schemeClr>
              </a:solidFill>
              <a:ln w="19050">
                <a:solidFill>
                  <a:schemeClr val="accent1">
                    <a:shade val="65000"/>
                    <a:lumMod val="75000"/>
                  </a:schemeClr>
                </a:solidFill>
              </a:ln>
              <a:effectLst>
                <a:innerShdw blurRad="114300">
                  <a:schemeClr val="accent1">
                    <a:shade val="65000"/>
                    <a:lumMod val="75000"/>
                  </a:schemeClr>
                </a:innerShdw>
              </a:effectLst>
              <a:scene3d>
                <a:camera prst="orthographicFront"/>
                <a:lightRig rig="threePt" dir="t"/>
              </a:scene3d>
              <a:sp3d contourW="19050" prstMaterial="flat">
                <a:contourClr>
                  <a:schemeClr val="accent1">
                    <a:shade val="65000"/>
                    <a:lumMod val="75000"/>
                  </a:schemeClr>
                </a:contourClr>
              </a:sp3d>
            </c:spPr>
            <c:extLst>
              <c:ext xmlns:c16="http://schemas.microsoft.com/office/drawing/2014/chart" uri="{C3380CC4-5D6E-409C-BE32-E72D297353CC}">
                <c16:uniqueId val="{0000000A-192A-4D09-AB0F-F96000FB79E8}"/>
              </c:ext>
            </c:extLst>
          </c:dPt>
          <c:dPt>
            <c:idx val="1"/>
            <c:bubble3D val="0"/>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extLst>
              <c:ext xmlns:c16="http://schemas.microsoft.com/office/drawing/2014/chart" uri="{C3380CC4-5D6E-409C-BE32-E72D297353CC}">
                <c16:uniqueId val="{0000000B-192A-4D09-AB0F-F96000FB79E8}"/>
              </c:ext>
            </c:extLst>
          </c:dPt>
          <c:dPt>
            <c:idx val="2"/>
            <c:bubble3D val="0"/>
            <c:spPr>
              <a:solidFill>
                <a:schemeClr val="accent1">
                  <a:tint val="65000"/>
                  <a:alpha val="90000"/>
                </a:schemeClr>
              </a:solidFill>
              <a:ln w="19050">
                <a:solidFill>
                  <a:schemeClr val="accent1">
                    <a:tint val="65000"/>
                    <a:lumMod val="75000"/>
                  </a:schemeClr>
                </a:solidFill>
              </a:ln>
              <a:effectLst>
                <a:innerShdw blurRad="114300">
                  <a:schemeClr val="accent1">
                    <a:tint val="65000"/>
                    <a:lumMod val="75000"/>
                  </a:schemeClr>
                </a:innerShdw>
              </a:effectLst>
              <a:scene3d>
                <a:camera prst="orthographicFront"/>
                <a:lightRig rig="threePt" dir="t"/>
              </a:scene3d>
              <a:sp3d contourW="19050" prstMaterial="flat">
                <a:contourClr>
                  <a:schemeClr val="accent1">
                    <a:tint val="65000"/>
                    <a:lumMod val="75000"/>
                  </a:schemeClr>
                </a:contourClr>
              </a:sp3d>
            </c:spPr>
            <c:extLst>
              <c:ext xmlns:c16="http://schemas.microsoft.com/office/drawing/2014/chart" uri="{C3380CC4-5D6E-409C-BE32-E72D297353CC}">
                <c16:uniqueId val="{0000000C-192A-4D09-AB0F-F96000FB79E8}"/>
              </c:ext>
            </c:extLst>
          </c:dPt>
          <c:dLbls>
            <c:spPr>
              <a:solidFill>
                <a:sysClr val="window" lastClr="FFFFFF">
                  <a:alpha val="90000"/>
                </a:sysClr>
              </a:solidFill>
              <a:ln w="12700" cap="flat" cmpd="sng" algn="ctr">
                <a:solidFill>
                  <a:srgbClr val="156082">
                    <a:tint val="65000"/>
                  </a:srgbClr>
                </a:solidFill>
                <a:round/>
              </a:ln>
              <a:effectLst>
                <a:outerShdw blurRad="50800" dist="38100" dir="2700000" algn="tl" rotWithShape="0">
                  <a:srgbClr val="156082">
                    <a:tint val="65000"/>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tint val="65000"/>
                      </a:schemeClr>
                    </a:solidFill>
                    <a:effectLst/>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c15:spPr>
              </c:ext>
            </c:extLst>
          </c:dLbls>
          <c:cat>
            <c:strRef>
              <c:f>'Rating Category'!$A$4:$A$7</c:f>
              <c:strCache>
                <c:ptCount val="3"/>
                <c:pt idx="0">
                  <c:v>Average</c:v>
                </c:pt>
                <c:pt idx="1">
                  <c:v>Excellent</c:v>
                </c:pt>
                <c:pt idx="2">
                  <c:v>Poor</c:v>
                </c:pt>
              </c:strCache>
            </c:strRef>
          </c:cat>
          <c:val>
            <c:numRef>
              <c:f>'Rating Category'!$D$4:$D$7</c:f>
              <c:numCache>
                <c:formatCode>0.0</c:formatCode>
                <c:ptCount val="3"/>
                <c:pt idx="0">
                  <c:v>3.8090909090909091</c:v>
                </c:pt>
                <c:pt idx="1">
                  <c:v>4.7590909090909079</c:v>
                </c:pt>
                <c:pt idx="2">
                  <c:v>2.3916666666666666</c:v>
                </c:pt>
              </c:numCache>
            </c:numRef>
          </c:val>
          <c:extLst>
            <c:ext xmlns:c16="http://schemas.microsoft.com/office/drawing/2014/chart" uri="{C3380CC4-5D6E-409C-BE32-E72D297353CC}">
              <c16:uniqueId val="{00000002-192A-4D09-AB0F-F96000FB79E8}"/>
            </c:ext>
          </c:extLst>
        </c:ser>
        <c:dLbls>
          <c:showLegendKey val="0"/>
          <c:showVal val="0"/>
          <c:showCatName val="0"/>
          <c:showSerName val="0"/>
          <c:showPercent val="0"/>
          <c:showBubbleSize val="0"/>
          <c:showLeaderLines val="0"/>
        </c:dLbls>
      </c:pie3D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[Jumia Excel Dataset.xlsx]Discount Category!PivotTable3</c:name>
    <c:fmtId val="0"/>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US"/>
              <a:t>Discount Category</a:t>
            </a:r>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'Discount Category'!$B$3</c:f>
              <c:strCache>
                <c:ptCount val="1"/>
                <c:pt idx="0">
                  <c:v>Total</c:v>
                </c:pt>
              </c:strCache>
            </c:strRef>
          </c:tx>
          <c:dPt>
            <c:idx val="0"/>
            <c:bubble3D val="0"/>
            <c:spPr>
              <a:pattFill prst="ltUpDiag">
                <a:fgClr>
                  <a:schemeClr val="accent1">
                    <a:shade val="76000"/>
                  </a:schemeClr>
                </a:fgClr>
                <a:bgClr>
                  <a:schemeClr val="accent1">
                    <a:shade val="76000"/>
                    <a:lumMod val="20000"/>
                    <a:lumOff val="80000"/>
                  </a:schemeClr>
                </a:bgClr>
              </a:pattFill>
              <a:ln w="19050">
                <a:solidFill>
                  <a:schemeClr val="lt1"/>
                </a:solidFill>
              </a:ln>
              <a:effectLst>
                <a:innerShdw blurRad="114300">
                  <a:schemeClr val="accent1">
                    <a:shade val="76000"/>
                  </a:schemeClr>
                </a:innerShdw>
              </a:effectLst>
            </c:spPr>
          </c:dPt>
          <c:dPt>
            <c:idx val="1"/>
            <c:bubble3D val="0"/>
            <c:spPr>
              <a:pattFill prst="ltUpDiag">
                <a:fgClr>
                  <a:schemeClr val="accent1">
                    <a:tint val="77000"/>
                  </a:schemeClr>
                </a:fgClr>
                <a:bgClr>
                  <a:schemeClr val="accent1">
                    <a:tint val="77000"/>
                    <a:lumMod val="20000"/>
                    <a:lumOff val="80000"/>
                  </a:schemeClr>
                </a:bgClr>
              </a:pattFill>
              <a:ln w="19050">
                <a:solidFill>
                  <a:schemeClr val="lt1"/>
                </a:solidFill>
              </a:ln>
              <a:effectLst>
                <a:innerShdw blurRad="114300">
                  <a:schemeClr val="accent1">
                    <a:tint val="77000"/>
                  </a:schemeClr>
                </a:innerShdw>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'Discount Category'!$A$4:$A$6</c:f>
              <c:strCache>
                <c:ptCount val="2"/>
                <c:pt idx="0">
                  <c:v>High Discount</c:v>
                </c:pt>
                <c:pt idx="1">
                  <c:v>Medium Discount</c:v>
                </c:pt>
              </c:strCache>
            </c:strRef>
          </c:cat>
          <c:val>
            <c:numRef>
              <c:f>'Discount Category'!$B$4:$B$6</c:f>
              <c:numCache>
                <c:formatCode>General</c:formatCode>
                <c:ptCount val="2"/>
                <c:pt idx="0">
                  <c:v>1</c:v>
                </c:pt>
                <c:pt idx="1">
                  <c:v>5</c:v>
                </c:pt>
              </c:numCache>
            </c:numRef>
          </c:val>
          <c:extLst>
            <c:ext xmlns:c16="http://schemas.microsoft.com/office/drawing/2014/chart" uri="{C3380CC4-5D6E-409C-BE32-E72D297353CC}">
              <c16:uniqueId val="{00000000-42E2-4BE3-A0A8-6D6B47853E05}"/>
            </c:ext>
          </c:extLst>
        </c:ser>
        <c:dLbls>
          <c:showLegendKey val="0"/>
          <c:showVal val="1"/>
          <c:showCatName val="0"/>
          <c:showSerName val="0"/>
          <c:showPercent val="0"/>
          <c:showBubbleSize val="0"/>
          <c:showLeaderLines val="1"/>
        </c:dLbls>
        <c:firstSliceAng val="0"/>
        <c:holeSize val="7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Prodcts</a:t>
            </a:r>
            <a:r>
              <a:rPr lang="en-US" baseline="0"/>
              <a:t> by Discount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'Data Analysis'!$F$28</c:f>
              <c:strCache>
                <c:ptCount val="1"/>
                <c:pt idx="0">
                  <c:v>Discount %</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 Analysis'!$E$29:$E$38</c:f>
              <c:strCache>
                <c:ptCount val="10"/>
                <c:pt idx="0">
                  <c:v>6 In 1 Bottle Can Opener Multifunctional Easy Opener</c:v>
                </c:pt>
                <c:pt idx="1">
                  <c:v>Creative Owl Shape Keychain Black</c:v>
                </c:pt>
                <c:pt idx="2">
                  <c:v>LASA FOLDING TABLE SERVING STAND</c:v>
                </c:pt>
                <c:pt idx="3">
                  <c:v>5-PCS Stainless Steel Cooking Pot Set With Steamed Slices</c:v>
                </c:pt>
                <c:pt idx="4">
                  <c:v>Simple Metal Dog Art Sculpture Decoration For Home Office</c:v>
                </c:pt>
                <c:pt idx="5">
                  <c:v>LASA 3 Tier Bamboo Shoe Bench Storage Shelf</c:v>
                </c:pt>
                <c:pt idx="6">
                  <c:v>Mythco 120COB Solar Wall Ligt With Motion Sensor And Remote Control 3 Modes</c:v>
                </c:pt>
                <c:pt idx="7">
                  <c:v>3PCS Single Head Knitting Crochet Sweater Needle Set</c:v>
                </c:pt>
                <c:pt idx="8">
                  <c:v>Classic Black Cat Cotton Hemp Pillow Case For Home Car</c:v>
                </c:pt>
                <c:pt idx="9">
                  <c:v>Exfoliate And Exfoliate Face Towel - Black</c:v>
                </c:pt>
              </c:strCache>
            </c:strRef>
          </c:cat>
          <c:val>
            <c:numRef>
              <c:f>'Data Analysis'!$F$29:$F$38</c:f>
              <c:numCache>
                <c:formatCode>0.00</c:formatCode>
                <c:ptCount val="10"/>
                <c:pt idx="0">
                  <c:v>64</c:v>
                </c:pt>
                <c:pt idx="1">
                  <c:v>61</c:v>
                </c:pt>
                <c:pt idx="2">
                  <c:v>55</c:v>
                </c:pt>
                <c:pt idx="3">
                  <c:v>55</c:v>
                </c:pt>
                <c:pt idx="4">
                  <c:v>55</c:v>
                </c:pt>
                <c:pt idx="5">
                  <c:v>54</c:v>
                </c:pt>
                <c:pt idx="6">
                  <c:v>54</c:v>
                </c:pt>
                <c:pt idx="7">
                  <c:v>53</c:v>
                </c:pt>
                <c:pt idx="8">
                  <c:v>53</c:v>
                </c:pt>
                <c:pt idx="9">
                  <c:v>52</c:v>
                </c:pt>
              </c:numCache>
            </c:numRef>
          </c:val>
          <c:extLst>
            <c:ext xmlns:c16="http://schemas.microsoft.com/office/drawing/2014/chart" uri="{C3380CC4-5D6E-409C-BE32-E72D297353CC}">
              <c16:uniqueId val="{00000000-02AD-46B6-B7C9-8E4D5D2E6050}"/>
            </c:ext>
          </c:extLst>
        </c:ser>
        <c:dLbls>
          <c:dLblPos val="outEnd"/>
          <c:showLegendKey val="0"/>
          <c:showVal val="1"/>
          <c:showCatName val="0"/>
          <c:showSerName val="0"/>
          <c:showPercent val="0"/>
          <c:showBubbleSize val="0"/>
        </c:dLbls>
        <c:gapWidth val="219"/>
        <c:overlap val="-27"/>
        <c:axId val="602986015"/>
        <c:axId val="602984575"/>
      </c:barChart>
      <c:catAx>
        <c:axId val="6029860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2984575"/>
        <c:crosses val="autoZero"/>
        <c:auto val="1"/>
        <c:lblAlgn val="ctr"/>
        <c:lblOffset val="100"/>
        <c:noMultiLvlLbl val="0"/>
      </c:catAx>
      <c:valAx>
        <c:axId val="602984575"/>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2986015"/>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Top 10  Products by Reviews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'Data Analysis'!$G$14</c:f>
              <c:strCache>
                <c:ptCount val="1"/>
                <c:pt idx="0">
                  <c:v>Review Count</c:v>
                </c:pt>
              </c:strCache>
            </c:strRef>
          </c:tx>
          <c:spPr>
            <a:solidFill>
              <a:schemeClr val="accent1"/>
            </a:solidFill>
            <a:ln>
              <a:noFill/>
            </a:ln>
            <a:effectLst/>
          </c:spPr>
          <c:invertIfNegative val="0"/>
          <c:cat>
            <c:strRef>
              <c:f>'Data Analysis'!$F$15:$F$24</c:f>
              <c:strCache>
                <c:ptCount val="10"/>
                <c:pt idx="0">
                  <c:v>120W Cordless Vacuum Cleaners Handheld Electric Vacuum Cleaner</c:v>
                </c:pt>
                <c:pt idx="1">
                  <c:v>137 Pieces Cake Decorating Tool Set Baking Supplies</c:v>
                </c:pt>
                <c:pt idx="2">
                  <c:v>Electronic Digital Display Vernier Caliper</c:v>
                </c:pt>
                <c:pt idx="3">
                  <c:v>3D Waterproof EVA Plastic Shower Curtain 1.8*2Mtrs</c:v>
                </c:pt>
                <c:pt idx="4">
                  <c:v>100 Pcs Crochet Hook Tool Set Knitting Hook Set With Box</c:v>
                </c:pt>
                <c:pt idx="5">
                  <c:v>Punch-free Great Load Bearing Bathroom Storage Rack Wall Shelf-White</c:v>
                </c:pt>
                <c:pt idx="6">
                  <c:v>53 Pieces/Set Yarn Knitting Crochet Hooks With Bag - Pansies</c:v>
                </c:pt>
                <c:pt idx="7">
                  <c:v>Portable Mini Cordless Car Vacuum Cleaner - Blue</c:v>
                </c:pt>
                <c:pt idx="8">
                  <c:v>52 Pieces Cake Decorating Tool Set Gift Kit Baking Supplies</c:v>
                </c:pt>
                <c:pt idx="9">
                  <c:v>53Pcs/Set Yarn Knitting Crochet Hooks With Bag - Fortune Cat</c:v>
                </c:pt>
              </c:strCache>
            </c:strRef>
          </c:cat>
          <c:val>
            <c:numRef>
              <c:f>'Data Analysis'!$G$15:$G$24</c:f>
              <c:numCache>
                <c:formatCode>#,##0</c:formatCode>
                <c:ptCount val="10"/>
                <c:pt idx="0">
                  <c:v>69</c:v>
                </c:pt>
                <c:pt idx="1">
                  <c:v>55</c:v>
                </c:pt>
                <c:pt idx="2">
                  <c:v>49</c:v>
                </c:pt>
                <c:pt idx="3">
                  <c:v>44</c:v>
                </c:pt>
                <c:pt idx="4">
                  <c:v>39</c:v>
                </c:pt>
                <c:pt idx="5">
                  <c:v>36</c:v>
                </c:pt>
                <c:pt idx="6">
                  <c:v>32</c:v>
                </c:pt>
                <c:pt idx="7">
                  <c:v>24</c:v>
                </c:pt>
                <c:pt idx="8">
                  <c:v>20</c:v>
                </c:pt>
                <c:pt idx="9">
                  <c:v>20</c:v>
                </c:pt>
              </c:numCache>
            </c:numRef>
          </c:val>
          <c:extLst>
            <c:ext xmlns:c16="http://schemas.microsoft.com/office/drawing/2014/chart" uri="{C3380CC4-5D6E-409C-BE32-E72D297353CC}">
              <c16:uniqueId val="{00000000-CD8A-45B9-9E32-BEE833A32F25}"/>
            </c:ext>
          </c:extLst>
        </c:ser>
        <c:dLbls>
          <c:showLegendKey val="0"/>
          <c:showVal val="0"/>
          <c:showCatName val="0"/>
          <c:showSerName val="0"/>
          <c:showPercent val="0"/>
          <c:showBubbleSize val="0"/>
        </c:dLbls>
        <c:gapWidth val="182"/>
        <c:axId val="781375791"/>
        <c:axId val="781372911"/>
      </c:barChart>
      <c:catAx>
        <c:axId val="78137579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1372911"/>
        <c:crosses val="autoZero"/>
        <c:auto val="1"/>
        <c:lblAlgn val="ctr"/>
        <c:lblOffset val="100"/>
        <c:noMultiLvlLbl val="0"/>
      </c:catAx>
      <c:valAx>
        <c:axId val="781372911"/>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1375791"/>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[Jumia Excel Dataset.xlsx]Data Analysis!PivotTable12</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Rating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'Data Analysis'!$B$13</c:f>
              <c:strCache>
                <c:ptCount val="1"/>
                <c:pt idx="0">
                  <c:v>Count of Product</c:v>
                </c:pt>
              </c:strCache>
            </c:strRef>
          </c:tx>
          <c:spPr>
            <a:solidFill>
              <a:schemeClr val="accent1">
                <a:shade val="65000"/>
              </a:schemeClr>
            </a:solidFill>
            <a:ln>
              <a:noFill/>
            </a:ln>
            <a:effectLst/>
          </c:spPr>
          <c:invertIfNegative val="0"/>
          <c:cat>
            <c:strRef>
              <c:f>'Data Analysis'!$A$14:$A$17</c:f>
              <c:strCache>
                <c:ptCount val="3"/>
                <c:pt idx="0">
                  <c:v>Average</c:v>
                </c:pt>
                <c:pt idx="1">
                  <c:v>Excellent</c:v>
                </c:pt>
                <c:pt idx="2">
                  <c:v>Poor</c:v>
                </c:pt>
              </c:strCache>
            </c:strRef>
          </c:cat>
          <c:val>
            <c:numRef>
              <c:f>'Data Analysis'!$B$14:$B$17</c:f>
              <c:numCache>
                <c:formatCode>#,##0.00</c:formatCode>
                <c:ptCount val="3"/>
                <c:pt idx="0">
                  <c:v>22</c:v>
                </c:pt>
                <c:pt idx="1">
                  <c:v>22</c:v>
                </c:pt>
                <c:pt idx="2">
                  <c:v>12</c:v>
                </c:pt>
              </c:numCache>
            </c:numRef>
          </c:val>
          <c:extLst>
            <c:ext xmlns:c16="http://schemas.microsoft.com/office/drawing/2014/chart" uri="{C3380CC4-5D6E-409C-BE32-E72D297353CC}">
              <c16:uniqueId val="{00000000-3888-4171-8A89-6D9D4756C9A3}"/>
            </c:ext>
          </c:extLst>
        </c:ser>
        <c:ser>
          <c:idx val="1"/>
          <c:order val="1"/>
          <c:tx>
            <c:strRef>
              <c:f>'Data Analysis'!$C$13</c:f>
              <c:strCache>
                <c:ptCount val="1"/>
                <c:pt idx="0">
                  <c:v>Average of Review</c:v>
                </c:pt>
              </c:strCache>
            </c:strRef>
          </c:tx>
          <c:spPr>
            <a:solidFill>
              <a:schemeClr val="accent1"/>
            </a:solidFill>
            <a:ln>
              <a:noFill/>
            </a:ln>
            <a:effectLst/>
          </c:spPr>
          <c:invertIfNegative val="0"/>
          <c:cat>
            <c:strRef>
              <c:f>'Data Analysis'!$A$14:$A$17</c:f>
              <c:strCache>
                <c:ptCount val="3"/>
                <c:pt idx="0">
                  <c:v>Average</c:v>
                </c:pt>
                <c:pt idx="1">
                  <c:v>Excellent</c:v>
                </c:pt>
                <c:pt idx="2">
                  <c:v>Poor</c:v>
                </c:pt>
              </c:strCache>
            </c:strRef>
          </c:cat>
          <c:val>
            <c:numRef>
              <c:f>'Data Analysis'!$C$14:$C$17</c:f>
              <c:numCache>
                <c:formatCode>0.0</c:formatCode>
                <c:ptCount val="3"/>
                <c:pt idx="0">
                  <c:v>10.136363636363637</c:v>
                </c:pt>
                <c:pt idx="1">
                  <c:v>14.954545454545455</c:v>
                </c:pt>
                <c:pt idx="2">
                  <c:v>14.083333333333334</c:v>
                </c:pt>
              </c:numCache>
            </c:numRef>
          </c:val>
          <c:extLst>
            <c:ext xmlns:c16="http://schemas.microsoft.com/office/drawing/2014/chart" uri="{C3380CC4-5D6E-409C-BE32-E72D297353CC}">
              <c16:uniqueId val="{00000001-3888-4171-8A89-6D9D4756C9A3}"/>
            </c:ext>
          </c:extLst>
        </c:ser>
        <c:ser>
          <c:idx val="2"/>
          <c:order val="2"/>
          <c:tx>
            <c:strRef>
              <c:f>'Data Analysis'!$D$13</c:f>
              <c:strCache>
                <c:ptCount val="1"/>
                <c:pt idx="0">
                  <c:v>Average of Ratings</c:v>
                </c:pt>
              </c:strCache>
            </c:strRef>
          </c:tx>
          <c:spPr>
            <a:solidFill>
              <a:schemeClr val="accent1">
                <a:tint val="65000"/>
              </a:schemeClr>
            </a:solidFill>
            <a:ln>
              <a:noFill/>
            </a:ln>
            <a:effectLst/>
          </c:spPr>
          <c:invertIfNegative val="0"/>
          <c:cat>
            <c:strRef>
              <c:f>'Data Analysis'!$A$14:$A$17</c:f>
              <c:strCache>
                <c:ptCount val="3"/>
                <c:pt idx="0">
                  <c:v>Average</c:v>
                </c:pt>
                <c:pt idx="1">
                  <c:v>Excellent</c:v>
                </c:pt>
                <c:pt idx="2">
                  <c:v>Poor</c:v>
                </c:pt>
              </c:strCache>
            </c:strRef>
          </c:cat>
          <c:val>
            <c:numRef>
              <c:f>'Data Analysis'!$D$14:$D$17</c:f>
              <c:numCache>
                <c:formatCode>0.0</c:formatCode>
                <c:ptCount val="3"/>
                <c:pt idx="0">
                  <c:v>3.8090909090909091</c:v>
                </c:pt>
                <c:pt idx="1">
                  <c:v>4.7590909090909079</c:v>
                </c:pt>
                <c:pt idx="2">
                  <c:v>2.3916666666666666</c:v>
                </c:pt>
              </c:numCache>
            </c:numRef>
          </c:val>
          <c:extLst>
            <c:ext xmlns:c16="http://schemas.microsoft.com/office/drawing/2014/chart" uri="{C3380CC4-5D6E-409C-BE32-E72D297353CC}">
              <c16:uniqueId val="{00000002-3888-4171-8A89-6D9D4756C9A3}"/>
            </c:ext>
          </c:extLst>
        </c:ser>
        <c:dLbls>
          <c:showLegendKey val="0"/>
          <c:showVal val="0"/>
          <c:showCatName val="0"/>
          <c:showSerName val="0"/>
          <c:showPercent val="0"/>
          <c:showBubbleSize val="0"/>
        </c:dLbls>
        <c:gapWidth val="219"/>
        <c:overlap val="-27"/>
        <c:axId val="16709311"/>
        <c:axId val="16704991"/>
      </c:barChart>
      <c:catAx>
        <c:axId val="167093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04991"/>
        <c:crosses val="autoZero"/>
        <c:auto val="1"/>
        <c:lblAlgn val="ctr"/>
        <c:lblOffset val="100"/>
        <c:noMultiLvlLbl val="0"/>
      </c:catAx>
      <c:valAx>
        <c:axId val="16704991"/>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093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[Jumia Excel Dataset.xlsx]Rating Category!PivotTable6</c:name>
    <c:fmtId val="6"/>
  </c:pivotSource>
  <c:chart>
    <c:title>
      <c:tx>
        <c:rich>
          <a:bodyPr rot="0" spcFirstLastPara="1" vertOverflow="ellipsis" vert="horz" wrap="square" anchor="ctr" anchorCtr="1"/>
          <a:lstStyle/>
          <a:p>
            <a:pPr>
              <a:defRPr sz="1800" b="1" i="0" u="none" strike="noStrike" kern="1200" cap="all" baseline="0">
                <a:solidFill>
                  <a:schemeClr val="tx1">
                    <a:lumMod val="65000"/>
                    <a:lumOff val="35000"/>
                  </a:schemeClr>
                </a:solidFill>
                <a:latin typeface="+mn-lt"/>
                <a:ea typeface="+mn-ea"/>
                <a:cs typeface="+mn-cs"/>
              </a:defRPr>
            </a:pPr>
            <a:r>
              <a:rPr lang="en-US"/>
              <a:t>Rating Category</a:t>
            </a:r>
          </a:p>
        </c:rich>
      </c:tx>
      <c:overlay val="0"/>
      <c:spPr>
        <a:noFill/>
        <a:ln>
          <a:noFill/>
        </a:ln>
        <a:effectLst/>
      </c:spPr>
      <c:txPr>
        <a:bodyPr rot="0" spcFirstLastPara="1" vertOverflow="ellipsis" vert="horz" wrap="square" anchor="ctr" anchorCtr="1"/>
        <a:lstStyle/>
        <a:p>
          <a:pPr>
            <a:defRPr sz="1800" b="1" i="0" u="none" strike="noStrike" kern="1200" cap="all"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marker>
          <c:symbol val="circle"/>
          <c:size val="6"/>
        </c:marker>
        <c:dLbl>
          <c:idx val="0"/>
          <c:spPr>
            <a:solidFill>
              <a:sysClr val="window" lastClr="FFFFFF">
                <a:alpha val="90000"/>
              </a:sysClr>
            </a:solidFill>
            <a:ln w="12700" cap="flat" cmpd="sng" algn="ctr">
              <a:solidFill>
                <a:srgbClr val="156082">
                  <a:shade val="65000"/>
                </a:srgbClr>
              </a:solidFill>
              <a:round/>
            </a:ln>
            <a:effectLst>
              <a:outerShdw blurRad="50800" dist="38100" dir="2700000" algn="tl" rotWithShape="0">
                <a:srgbClr val="156082">
                  <a:shade val="65000"/>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solidFill>
                  <a:schemeClr val="lt1">
                    <a:alpha val="90000"/>
                  </a:schemeClr>
                </a:solidFill>
                <a:ln w="12700" cap="flat" cmpd="sng" algn="ctr">
                  <a:solidFill>
                    <a:schemeClr val="accent1">
                      <a:tint val="30000"/>
                    </a:schemeClr>
                  </a:solidFill>
                  <a:round/>
                </a:ln>
              </c15:spPr>
            </c:ext>
          </c:extLst>
        </c:dLbl>
      </c:pivotFmt>
      <c:pivotFmt>
        <c:idx val="1"/>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marker>
          <c:symbol val="circle"/>
          <c:size val="6"/>
        </c:marker>
        <c:dLbl>
          <c:idx val="0"/>
          <c:spPr>
            <a:solidFill>
              <a:sysClr val="window" lastClr="FFFFFF">
                <a:alpha val="90000"/>
              </a:sysClr>
            </a:solidFill>
            <a:ln w="12700" cap="flat" cmpd="sng" algn="ctr">
              <a:solidFill>
                <a:srgbClr val="156082"/>
              </a:solidFill>
              <a:round/>
            </a:ln>
            <a:effectLst>
              <a:outerShdw blurRad="50800" dist="38100" dir="2700000" algn="tl" rotWithShape="0">
                <a:srgbClr val="156082">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solidFill>
                  <a:schemeClr val="lt1">
                    <a:alpha val="90000"/>
                  </a:schemeClr>
                </a:solidFill>
                <a:ln w="12700" cap="flat" cmpd="sng" algn="ctr">
                  <a:solidFill>
                    <a:schemeClr val="accent1">
                      <a:tint val="30000"/>
                    </a:schemeClr>
                  </a:solidFill>
                  <a:round/>
                </a:ln>
              </c15:spPr>
            </c:ext>
          </c:extLst>
        </c:dLbl>
      </c:pivotFmt>
      <c:pivotFmt>
        <c:idx val="2"/>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marker>
          <c:symbol val="circle"/>
          <c:size val="6"/>
        </c:marker>
        <c:dLbl>
          <c:idx val="0"/>
          <c:spPr>
            <a:solidFill>
              <a:sysClr val="window" lastClr="FFFFFF">
                <a:alpha val="90000"/>
              </a:sysClr>
            </a:solidFill>
            <a:ln w="12700" cap="flat" cmpd="sng" algn="ctr">
              <a:solidFill>
                <a:srgbClr val="156082">
                  <a:tint val="65000"/>
                </a:srgbClr>
              </a:solidFill>
              <a:round/>
            </a:ln>
            <a:effectLst>
              <a:outerShdw blurRad="50800" dist="38100" dir="2700000" algn="tl" rotWithShape="0">
                <a:srgbClr val="156082">
                  <a:tint val="65000"/>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solidFill>
                  <a:schemeClr val="lt1">
                    <a:alpha val="90000"/>
                  </a:schemeClr>
                </a:solidFill>
                <a:ln w="12700" cap="flat" cmpd="sng" algn="ctr">
                  <a:solidFill>
                    <a:schemeClr val="accent1">
                      <a:tint val="30000"/>
                    </a:schemeClr>
                  </a:solidFill>
                  <a:round/>
                </a:ln>
              </c15:spPr>
            </c:ext>
          </c:extLst>
        </c:dLbl>
      </c:pivotFmt>
      <c:pivotFmt>
        <c:idx val="3"/>
        <c:spPr>
          <a:solidFill>
            <a:schemeClr val="accent1">
              <a:shade val="65000"/>
              <a:alpha val="90000"/>
            </a:schemeClr>
          </a:solidFill>
          <a:ln w="19050">
            <a:solidFill>
              <a:schemeClr val="accent1">
                <a:shade val="65000"/>
                <a:lumMod val="75000"/>
              </a:schemeClr>
            </a:solidFill>
          </a:ln>
          <a:effectLst>
            <a:innerShdw blurRad="114300">
              <a:schemeClr val="accent1">
                <a:shade val="65000"/>
                <a:lumMod val="75000"/>
              </a:schemeClr>
            </a:innerShdw>
          </a:effectLst>
          <a:scene3d>
            <a:camera prst="orthographicFront"/>
            <a:lightRig rig="threePt" dir="t"/>
          </a:scene3d>
          <a:sp3d contourW="19050" prstMaterial="flat">
            <a:contourClr>
              <a:schemeClr val="accent1">
                <a:shade val="65000"/>
                <a:lumMod val="75000"/>
              </a:schemeClr>
            </a:contourClr>
          </a:sp3d>
        </c:spPr>
        <c:dLbl>
          <c:idx val="0"/>
          <c:spPr>
            <a:solidFill>
              <a:sysClr val="window" lastClr="FFFFFF">
                <a:alpha val="90000"/>
              </a:sysClr>
            </a:solidFill>
            <a:ln w="12700" cap="flat" cmpd="sng" algn="ctr">
              <a:solidFill>
                <a:srgbClr val="156082">
                  <a:shade val="65000"/>
                </a:srgbClr>
              </a:solidFill>
              <a:round/>
            </a:ln>
            <a:effectLst>
              <a:outerShdw blurRad="50800" dist="38100" dir="2700000" algn="tl" rotWithShape="0">
                <a:srgbClr val="156082">
                  <a:shade val="65000"/>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solidFill>
                  <a:schemeClr val="lt1">
                    <a:alpha val="90000"/>
                  </a:schemeClr>
                </a:solidFill>
                <a:ln w="12700" cap="flat" cmpd="sng" algn="ctr">
                  <a:solidFill>
                    <a:schemeClr val="accent1">
                      <a:tint val="30000"/>
                    </a:schemeClr>
                  </a:solidFill>
                  <a:round/>
                </a:ln>
              </c15:spPr>
            </c:ext>
          </c:extLst>
        </c:dLbl>
      </c:pivotFmt>
      <c:pivotFmt>
        <c:idx val="4"/>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dLbl>
          <c:idx val="0"/>
          <c:spPr>
            <a:solidFill>
              <a:sysClr val="window" lastClr="FFFFFF">
                <a:alpha val="90000"/>
              </a:sysClr>
            </a:solidFill>
            <a:ln w="12700" cap="flat" cmpd="sng" algn="ctr">
              <a:solidFill>
                <a:srgbClr val="156082">
                  <a:shade val="65000"/>
                </a:srgbClr>
              </a:solidFill>
              <a:round/>
            </a:ln>
            <a:effectLst>
              <a:outerShdw blurRad="50800" dist="38100" dir="2700000" algn="tl" rotWithShape="0">
                <a:srgbClr val="156082">
                  <a:shade val="65000"/>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solidFill>
                  <a:schemeClr val="lt1">
                    <a:alpha val="90000"/>
                  </a:schemeClr>
                </a:solidFill>
                <a:ln w="12700" cap="flat" cmpd="sng" algn="ctr">
                  <a:solidFill>
                    <a:schemeClr val="accent1">
                      <a:tint val="30000"/>
                    </a:schemeClr>
                  </a:solidFill>
                  <a:round/>
                </a:ln>
              </c15:spPr>
            </c:ext>
          </c:extLst>
        </c:dLbl>
      </c:pivotFmt>
      <c:pivotFmt>
        <c:idx val="5"/>
        <c:spPr>
          <a:solidFill>
            <a:schemeClr val="accent1">
              <a:tint val="65000"/>
              <a:alpha val="90000"/>
            </a:schemeClr>
          </a:solidFill>
          <a:ln w="19050">
            <a:solidFill>
              <a:schemeClr val="accent1">
                <a:tint val="65000"/>
                <a:lumMod val="75000"/>
              </a:schemeClr>
            </a:solidFill>
          </a:ln>
          <a:effectLst>
            <a:innerShdw blurRad="114300">
              <a:schemeClr val="accent1">
                <a:tint val="65000"/>
                <a:lumMod val="75000"/>
              </a:schemeClr>
            </a:innerShdw>
          </a:effectLst>
          <a:scene3d>
            <a:camera prst="orthographicFront"/>
            <a:lightRig rig="threePt" dir="t"/>
          </a:scene3d>
          <a:sp3d contourW="19050" prstMaterial="flat">
            <a:contourClr>
              <a:schemeClr val="accent1">
                <a:tint val="65000"/>
                <a:lumMod val="75000"/>
              </a:schemeClr>
            </a:contourClr>
          </a:sp3d>
        </c:spPr>
        <c:dLbl>
          <c:idx val="0"/>
          <c:spPr>
            <a:solidFill>
              <a:sysClr val="window" lastClr="FFFFFF">
                <a:alpha val="90000"/>
              </a:sysClr>
            </a:solidFill>
            <a:ln w="12700" cap="flat" cmpd="sng" algn="ctr">
              <a:solidFill>
                <a:srgbClr val="156082">
                  <a:shade val="65000"/>
                </a:srgbClr>
              </a:solidFill>
              <a:round/>
            </a:ln>
            <a:effectLst>
              <a:outerShdw blurRad="50800" dist="38100" dir="2700000" algn="tl" rotWithShape="0">
                <a:srgbClr val="156082">
                  <a:shade val="65000"/>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solidFill>
                  <a:schemeClr val="lt1">
                    <a:alpha val="90000"/>
                  </a:schemeClr>
                </a:solidFill>
                <a:ln w="12700" cap="flat" cmpd="sng" algn="ctr">
                  <a:solidFill>
                    <a:schemeClr val="accent1">
                      <a:tint val="30000"/>
                    </a:schemeClr>
                  </a:solidFill>
                  <a:round/>
                </a:ln>
              </c15:spPr>
            </c:ext>
          </c:extLst>
        </c:dLbl>
      </c:pivotFmt>
      <c:pivotFmt>
        <c:idx val="6"/>
        <c:spPr>
          <a:solidFill>
            <a:schemeClr val="accent1">
              <a:shade val="65000"/>
              <a:alpha val="90000"/>
            </a:schemeClr>
          </a:solidFill>
          <a:ln w="19050">
            <a:solidFill>
              <a:schemeClr val="accent1">
                <a:shade val="65000"/>
                <a:lumMod val="75000"/>
              </a:schemeClr>
            </a:solidFill>
          </a:ln>
          <a:effectLst>
            <a:innerShdw blurRad="114300">
              <a:schemeClr val="accent1">
                <a:shade val="65000"/>
                <a:lumMod val="75000"/>
              </a:schemeClr>
            </a:innerShdw>
          </a:effectLst>
          <a:scene3d>
            <a:camera prst="orthographicFront"/>
            <a:lightRig rig="threePt" dir="t"/>
          </a:scene3d>
          <a:sp3d contourW="19050" prstMaterial="flat">
            <a:contourClr>
              <a:schemeClr val="accent1">
                <a:shade val="65000"/>
                <a:lumMod val="75000"/>
              </a:schemeClr>
            </a:contourClr>
          </a:sp3d>
        </c:spPr>
        <c:dLbl>
          <c:idx val="0"/>
          <c:spPr>
            <a:solidFill>
              <a:sysClr val="window" lastClr="FFFFFF">
                <a:alpha val="90000"/>
              </a:sysClr>
            </a:solidFill>
            <a:ln w="12700" cap="flat" cmpd="sng" algn="ctr">
              <a:solidFill>
                <a:srgbClr val="156082"/>
              </a:solidFill>
              <a:round/>
            </a:ln>
            <a:effectLst>
              <a:outerShdw blurRad="50800" dist="38100" dir="2700000" algn="tl" rotWithShape="0">
                <a:srgbClr val="156082">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solidFill>
                  <a:schemeClr val="lt1">
                    <a:alpha val="90000"/>
                  </a:schemeClr>
                </a:solidFill>
                <a:ln w="12700" cap="flat" cmpd="sng" algn="ctr">
                  <a:solidFill>
                    <a:schemeClr val="accent1">
                      <a:tint val="30000"/>
                    </a:schemeClr>
                  </a:solidFill>
                  <a:round/>
                </a:ln>
              </c15:spPr>
            </c:ext>
          </c:extLst>
        </c:dLbl>
      </c:pivotFmt>
      <c:pivotFmt>
        <c:idx val="7"/>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dLbl>
          <c:idx val="0"/>
          <c:spPr>
            <a:solidFill>
              <a:sysClr val="window" lastClr="FFFFFF">
                <a:alpha val="90000"/>
              </a:sysClr>
            </a:solidFill>
            <a:ln w="12700" cap="flat" cmpd="sng" algn="ctr">
              <a:solidFill>
                <a:srgbClr val="156082"/>
              </a:solidFill>
              <a:round/>
            </a:ln>
            <a:effectLst>
              <a:outerShdw blurRad="50800" dist="38100" dir="2700000" algn="tl" rotWithShape="0">
                <a:srgbClr val="156082">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solidFill>
                  <a:schemeClr val="lt1">
                    <a:alpha val="90000"/>
                  </a:schemeClr>
                </a:solidFill>
                <a:ln w="12700" cap="flat" cmpd="sng" algn="ctr">
                  <a:solidFill>
                    <a:schemeClr val="accent1">
                      <a:tint val="30000"/>
                    </a:schemeClr>
                  </a:solidFill>
                  <a:round/>
                </a:ln>
              </c15:spPr>
            </c:ext>
          </c:extLst>
        </c:dLbl>
      </c:pivotFmt>
      <c:pivotFmt>
        <c:idx val="8"/>
        <c:spPr>
          <a:solidFill>
            <a:schemeClr val="accent1">
              <a:tint val="65000"/>
              <a:alpha val="90000"/>
            </a:schemeClr>
          </a:solidFill>
          <a:ln w="19050">
            <a:solidFill>
              <a:schemeClr val="accent1">
                <a:tint val="65000"/>
                <a:lumMod val="75000"/>
              </a:schemeClr>
            </a:solidFill>
          </a:ln>
          <a:effectLst>
            <a:innerShdw blurRad="114300">
              <a:schemeClr val="accent1">
                <a:tint val="65000"/>
                <a:lumMod val="75000"/>
              </a:schemeClr>
            </a:innerShdw>
          </a:effectLst>
          <a:scene3d>
            <a:camera prst="orthographicFront"/>
            <a:lightRig rig="threePt" dir="t"/>
          </a:scene3d>
          <a:sp3d contourW="19050" prstMaterial="flat">
            <a:contourClr>
              <a:schemeClr val="accent1">
                <a:tint val="65000"/>
                <a:lumMod val="75000"/>
              </a:schemeClr>
            </a:contourClr>
          </a:sp3d>
        </c:spPr>
        <c:dLbl>
          <c:idx val="0"/>
          <c:spPr>
            <a:solidFill>
              <a:sysClr val="window" lastClr="FFFFFF">
                <a:alpha val="90000"/>
              </a:sysClr>
            </a:solidFill>
            <a:ln w="12700" cap="flat" cmpd="sng" algn="ctr">
              <a:solidFill>
                <a:srgbClr val="156082"/>
              </a:solidFill>
              <a:round/>
            </a:ln>
            <a:effectLst>
              <a:outerShdw blurRad="50800" dist="38100" dir="2700000" algn="tl" rotWithShape="0">
                <a:srgbClr val="156082">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solidFill>
                  <a:schemeClr val="lt1">
                    <a:alpha val="90000"/>
                  </a:schemeClr>
                </a:solidFill>
                <a:ln w="12700" cap="flat" cmpd="sng" algn="ctr">
                  <a:solidFill>
                    <a:schemeClr val="accent1">
                      <a:tint val="30000"/>
                    </a:schemeClr>
                  </a:solidFill>
                  <a:round/>
                </a:ln>
              </c15:spPr>
            </c:ext>
          </c:extLst>
        </c:dLbl>
      </c:pivotFmt>
      <c:pivotFmt>
        <c:idx val="9"/>
        <c:spPr>
          <a:solidFill>
            <a:schemeClr val="accent1">
              <a:shade val="65000"/>
              <a:alpha val="90000"/>
            </a:schemeClr>
          </a:solidFill>
          <a:ln w="19050">
            <a:solidFill>
              <a:schemeClr val="accent1">
                <a:shade val="65000"/>
                <a:lumMod val="75000"/>
              </a:schemeClr>
            </a:solidFill>
          </a:ln>
          <a:effectLst>
            <a:innerShdw blurRad="114300">
              <a:schemeClr val="accent1">
                <a:shade val="65000"/>
                <a:lumMod val="75000"/>
              </a:schemeClr>
            </a:innerShdw>
          </a:effectLst>
          <a:scene3d>
            <a:camera prst="orthographicFront"/>
            <a:lightRig rig="threePt" dir="t"/>
          </a:scene3d>
          <a:sp3d contourW="19050" prstMaterial="flat">
            <a:contourClr>
              <a:schemeClr val="accent1">
                <a:shade val="65000"/>
                <a:lumMod val="75000"/>
              </a:schemeClr>
            </a:contourClr>
          </a:sp3d>
        </c:spPr>
        <c:dLbl>
          <c:idx val="0"/>
          <c:spPr>
            <a:solidFill>
              <a:sysClr val="window" lastClr="FFFFFF">
                <a:alpha val="90000"/>
              </a:sysClr>
            </a:solidFill>
            <a:ln w="12700" cap="flat" cmpd="sng" algn="ctr">
              <a:solidFill>
                <a:srgbClr val="156082">
                  <a:tint val="65000"/>
                </a:srgbClr>
              </a:solidFill>
              <a:round/>
            </a:ln>
            <a:effectLst>
              <a:outerShdw blurRad="50800" dist="38100" dir="2700000" algn="tl" rotWithShape="0">
                <a:srgbClr val="156082">
                  <a:tint val="65000"/>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solidFill>
                  <a:schemeClr val="lt1">
                    <a:alpha val="90000"/>
                  </a:schemeClr>
                </a:solidFill>
                <a:ln w="12700" cap="flat" cmpd="sng" algn="ctr">
                  <a:solidFill>
                    <a:schemeClr val="accent1">
                      <a:tint val="30000"/>
                    </a:schemeClr>
                  </a:solidFill>
                  <a:round/>
                </a:ln>
              </c15:spPr>
            </c:ext>
          </c:extLst>
        </c:dLbl>
      </c:pivotFmt>
      <c:pivotFmt>
        <c:idx val="10"/>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dLbl>
          <c:idx val="0"/>
          <c:spPr>
            <a:solidFill>
              <a:sysClr val="window" lastClr="FFFFFF">
                <a:alpha val="90000"/>
              </a:sysClr>
            </a:solidFill>
            <a:ln w="12700" cap="flat" cmpd="sng" algn="ctr">
              <a:solidFill>
                <a:srgbClr val="156082">
                  <a:tint val="65000"/>
                </a:srgbClr>
              </a:solidFill>
              <a:round/>
            </a:ln>
            <a:effectLst>
              <a:outerShdw blurRad="50800" dist="38100" dir="2700000" algn="tl" rotWithShape="0">
                <a:srgbClr val="156082">
                  <a:tint val="65000"/>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solidFill>
                  <a:schemeClr val="lt1">
                    <a:alpha val="90000"/>
                  </a:schemeClr>
                </a:solidFill>
                <a:ln w="12700" cap="flat" cmpd="sng" algn="ctr">
                  <a:solidFill>
                    <a:schemeClr val="accent1">
                      <a:tint val="30000"/>
                    </a:schemeClr>
                  </a:solidFill>
                  <a:round/>
                </a:ln>
              </c15:spPr>
            </c:ext>
          </c:extLst>
        </c:dLbl>
      </c:pivotFmt>
      <c:pivotFmt>
        <c:idx val="11"/>
        <c:spPr>
          <a:solidFill>
            <a:schemeClr val="accent1">
              <a:tint val="65000"/>
              <a:alpha val="90000"/>
            </a:schemeClr>
          </a:solidFill>
          <a:ln w="19050">
            <a:solidFill>
              <a:schemeClr val="accent1">
                <a:tint val="65000"/>
                <a:lumMod val="75000"/>
              </a:schemeClr>
            </a:solidFill>
          </a:ln>
          <a:effectLst>
            <a:innerShdw blurRad="114300">
              <a:schemeClr val="accent1">
                <a:tint val="65000"/>
                <a:lumMod val="75000"/>
              </a:schemeClr>
            </a:innerShdw>
          </a:effectLst>
          <a:scene3d>
            <a:camera prst="orthographicFront"/>
            <a:lightRig rig="threePt" dir="t"/>
          </a:scene3d>
          <a:sp3d contourW="19050" prstMaterial="flat">
            <a:contourClr>
              <a:schemeClr val="accent1">
                <a:tint val="65000"/>
                <a:lumMod val="75000"/>
              </a:schemeClr>
            </a:contourClr>
          </a:sp3d>
        </c:spPr>
        <c:dLbl>
          <c:idx val="0"/>
          <c:spPr>
            <a:solidFill>
              <a:sysClr val="window" lastClr="FFFFFF">
                <a:alpha val="90000"/>
              </a:sysClr>
            </a:solidFill>
            <a:ln w="12700" cap="flat" cmpd="sng" algn="ctr">
              <a:solidFill>
                <a:srgbClr val="156082">
                  <a:tint val="65000"/>
                </a:srgbClr>
              </a:solidFill>
              <a:round/>
            </a:ln>
            <a:effectLst>
              <a:outerShdw blurRad="50800" dist="38100" dir="2700000" algn="tl" rotWithShape="0">
                <a:srgbClr val="156082">
                  <a:tint val="65000"/>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solidFill>
                  <a:schemeClr val="lt1">
                    <a:alpha val="90000"/>
                  </a:schemeClr>
                </a:solidFill>
                <a:ln w="12700" cap="flat" cmpd="sng" algn="ctr">
                  <a:solidFill>
                    <a:schemeClr val="accent1">
                      <a:tint val="30000"/>
                    </a:schemeClr>
                  </a:solidFill>
                  <a:round/>
                </a:ln>
              </c15:spPr>
            </c:ext>
          </c:extLst>
        </c:dLbl>
      </c:pivotFmt>
      <c:pivotFmt>
        <c:idx val="12"/>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marker>
          <c:symbol val="none"/>
        </c:marker>
        <c:dLbl>
          <c:idx val="0"/>
          <c:spPr>
            <a:solidFill>
              <a:sysClr val="window" lastClr="FFFFFF">
                <a:alpha val="90000"/>
              </a:sysClr>
            </a:solidFill>
            <a:ln w="12700" cap="flat" cmpd="sng" algn="ctr">
              <a:solidFill>
                <a:srgbClr val="156082">
                  <a:shade val="65000"/>
                </a:srgbClr>
              </a:solidFill>
              <a:round/>
            </a:ln>
            <a:effectLst>
              <a:outerShdw blurRad="50800" dist="38100" dir="2700000" algn="tl" rotWithShape="0">
                <a:srgbClr val="156082">
                  <a:shade val="65000"/>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hade val="65000"/>
                    </a:schemeClr>
                  </a:solidFill>
                  <a:effectLst/>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solidFill>
                  <a:schemeClr val="lt1">
                    <a:alpha val="90000"/>
                  </a:schemeClr>
                </a:solidFill>
                <a:ln w="12700" cap="flat" cmpd="sng" algn="ctr">
                  <a:solidFill>
                    <a:schemeClr val="accent1">
                      <a:tint val="30000"/>
                    </a:schemeClr>
                  </a:solidFill>
                  <a:round/>
                </a:ln>
              </c15:spPr>
            </c:ext>
          </c:extLst>
        </c:dLbl>
      </c:pivotFmt>
      <c:pivotFmt>
        <c:idx val="13"/>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dLbl>
          <c:idx val="0"/>
          <c:spPr>
            <a:solidFill>
              <a:sysClr val="window" lastClr="FFFFFF">
                <a:alpha val="90000"/>
              </a:sysClr>
            </a:solidFill>
            <a:ln w="12700" cap="flat" cmpd="sng" algn="ctr">
              <a:solidFill>
                <a:srgbClr val="156082">
                  <a:shade val="65000"/>
                </a:srgbClr>
              </a:solidFill>
              <a:round/>
            </a:ln>
            <a:effectLst>
              <a:outerShdw blurRad="50800" dist="38100" dir="2700000" algn="tl" rotWithShape="0">
                <a:srgbClr val="156082">
                  <a:shade val="65000"/>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hade val="65000"/>
                    </a:schemeClr>
                  </a:solidFill>
                  <a:effectLst/>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solidFill>
                  <a:schemeClr val="lt1">
                    <a:alpha val="90000"/>
                  </a:schemeClr>
                </a:solidFill>
                <a:ln w="12700" cap="flat" cmpd="sng" algn="ctr">
                  <a:solidFill>
                    <a:schemeClr val="accent1">
                      <a:tint val="30000"/>
                    </a:schemeClr>
                  </a:solidFill>
                  <a:round/>
                </a:ln>
              </c15:spPr>
              <c15:xForSave val="1"/>
            </c:ext>
          </c:extLst>
        </c:dLbl>
      </c:pivotFmt>
      <c:pivotFmt>
        <c:idx val="14"/>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dLbl>
          <c:idx val="0"/>
          <c:spPr>
            <a:solidFill>
              <a:sysClr val="window" lastClr="FFFFFF">
                <a:alpha val="90000"/>
              </a:sysClr>
            </a:solidFill>
            <a:ln w="12700" cap="flat" cmpd="sng" algn="ctr">
              <a:solidFill>
                <a:srgbClr val="156082">
                  <a:shade val="65000"/>
                </a:srgbClr>
              </a:solidFill>
              <a:round/>
            </a:ln>
            <a:effectLst>
              <a:outerShdw blurRad="50800" dist="38100" dir="2700000" algn="tl" rotWithShape="0">
                <a:srgbClr val="156082">
                  <a:shade val="65000"/>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hade val="65000"/>
                    </a:schemeClr>
                  </a:solidFill>
                  <a:effectLst/>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solidFill>
                  <a:schemeClr val="lt1">
                    <a:alpha val="90000"/>
                  </a:schemeClr>
                </a:solidFill>
                <a:ln w="12700" cap="flat" cmpd="sng" algn="ctr">
                  <a:solidFill>
                    <a:schemeClr val="accent1">
                      <a:tint val="30000"/>
                    </a:schemeClr>
                  </a:solidFill>
                  <a:round/>
                </a:ln>
              </c15:spPr>
              <c15:xForSave val="1"/>
            </c:ext>
          </c:extLst>
        </c:dLbl>
      </c:pivotFmt>
      <c:pivotFmt>
        <c:idx val="15"/>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dLbl>
          <c:idx val="0"/>
          <c:spPr>
            <a:solidFill>
              <a:sysClr val="window" lastClr="FFFFFF">
                <a:alpha val="90000"/>
              </a:sysClr>
            </a:solidFill>
            <a:ln w="12700" cap="flat" cmpd="sng" algn="ctr">
              <a:solidFill>
                <a:srgbClr val="156082">
                  <a:shade val="65000"/>
                </a:srgbClr>
              </a:solidFill>
              <a:round/>
            </a:ln>
            <a:effectLst>
              <a:outerShdw blurRad="50800" dist="38100" dir="2700000" algn="tl" rotWithShape="0">
                <a:srgbClr val="156082">
                  <a:shade val="65000"/>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hade val="65000"/>
                    </a:schemeClr>
                  </a:solidFill>
                  <a:effectLst/>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solidFill>
                  <a:schemeClr val="lt1">
                    <a:alpha val="90000"/>
                  </a:schemeClr>
                </a:solidFill>
                <a:ln w="12700" cap="flat" cmpd="sng" algn="ctr">
                  <a:solidFill>
                    <a:schemeClr val="accent1">
                      <a:tint val="30000"/>
                    </a:schemeClr>
                  </a:solidFill>
                  <a:round/>
                </a:ln>
              </c15:spPr>
              <c15:xForSave val="1"/>
            </c:ext>
          </c:extLst>
        </c:dLbl>
      </c:pivotFmt>
      <c:pivotFmt>
        <c:idx val="16"/>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marker>
          <c:symbol val="none"/>
        </c:marker>
        <c:dLbl>
          <c:idx val="0"/>
          <c:spPr>
            <a:solidFill>
              <a:sysClr val="window" lastClr="FFFFFF">
                <a:alpha val="90000"/>
              </a:sysClr>
            </a:solidFill>
            <a:ln w="12700" cap="flat" cmpd="sng" algn="ctr">
              <a:solidFill>
                <a:srgbClr val="156082"/>
              </a:solidFill>
              <a:round/>
            </a:ln>
            <a:effectLst>
              <a:outerShdw blurRad="50800" dist="38100" dir="2700000" algn="tl" rotWithShape="0">
                <a:srgbClr val="156082">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solidFill>
                  <a:schemeClr val="lt1">
                    <a:alpha val="90000"/>
                  </a:schemeClr>
                </a:solidFill>
                <a:ln w="12700" cap="flat" cmpd="sng" algn="ctr">
                  <a:solidFill>
                    <a:schemeClr val="accent1">
                      <a:tint val="30000"/>
                    </a:schemeClr>
                  </a:solidFill>
                  <a:round/>
                </a:ln>
              </c15:spPr>
            </c:ext>
          </c:extLst>
        </c:dLbl>
      </c:pivotFmt>
      <c:pivotFmt>
        <c:idx val="17"/>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dLbl>
          <c:idx val="0"/>
          <c:spPr>
            <a:solidFill>
              <a:sysClr val="window" lastClr="FFFFFF">
                <a:alpha val="90000"/>
              </a:sysClr>
            </a:solidFill>
            <a:ln w="12700" cap="flat" cmpd="sng" algn="ctr">
              <a:solidFill>
                <a:srgbClr val="156082"/>
              </a:solidFill>
              <a:round/>
            </a:ln>
            <a:effectLst>
              <a:outerShdw blurRad="50800" dist="38100" dir="2700000" algn="tl" rotWithShape="0">
                <a:srgbClr val="156082">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solidFill>
                  <a:schemeClr val="lt1">
                    <a:alpha val="90000"/>
                  </a:schemeClr>
                </a:solidFill>
                <a:ln w="12700" cap="flat" cmpd="sng" algn="ctr">
                  <a:solidFill>
                    <a:schemeClr val="accent1">
                      <a:tint val="30000"/>
                    </a:schemeClr>
                  </a:solidFill>
                  <a:round/>
                </a:ln>
              </c15:spPr>
              <c15:xForSave val="1"/>
            </c:ext>
          </c:extLst>
        </c:dLbl>
      </c:pivotFmt>
      <c:pivotFmt>
        <c:idx val="18"/>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dLbl>
          <c:idx val="0"/>
          <c:spPr>
            <a:solidFill>
              <a:sysClr val="window" lastClr="FFFFFF">
                <a:alpha val="90000"/>
              </a:sysClr>
            </a:solidFill>
            <a:ln w="12700" cap="flat" cmpd="sng" algn="ctr">
              <a:solidFill>
                <a:srgbClr val="156082"/>
              </a:solidFill>
              <a:round/>
            </a:ln>
            <a:effectLst>
              <a:outerShdw blurRad="50800" dist="38100" dir="2700000" algn="tl" rotWithShape="0">
                <a:srgbClr val="156082">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solidFill>
                  <a:schemeClr val="lt1">
                    <a:alpha val="90000"/>
                  </a:schemeClr>
                </a:solidFill>
                <a:ln w="12700" cap="flat" cmpd="sng" algn="ctr">
                  <a:solidFill>
                    <a:schemeClr val="accent1">
                      <a:tint val="30000"/>
                    </a:schemeClr>
                  </a:solidFill>
                  <a:round/>
                </a:ln>
              </c15:spPr>
              <c15:xForSave val="1"/>
            </c:ext>
          </c:extLst>
        </c:dLbl>
      </c:pivotFmt>
      <c:pivotFmt>
        <c:idx val="19"/>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dLbl>
          <c:idx val="0"/>
          <c:spPr>
            <a:solidFill>
              <a:sysClr val="window" lastClr="FFFFFF">
                <a:alpha val="90000"/>
              </a:sysClr>
            </a:solidFill>
            <a:ln w="12700" cap="flat" cmpd="sng" algn="ctr">
              <a:solidFill>
                <a:srgbClr val="156082"/>
              </a:solidFill>
              <a:round/>
            </a:ln>
            <a:effectLst>
              <a:outerShdw blurRad="50800" dist="38100" dir="2700000" algn="tl" rotWithShape="0">
                <a:srgbClr val="156082">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solidFill>
                  <a:schemeClr val="lt1">
                    <a:alpha val="90000"/>
                  </a:schemeClr>
                </a:solidFill>
                <a:ln w="12700" cap="flat" cmpd="sng" algn="ctr">
                  <a:solidFill>
                    <a:schemeClr val="accent1">
                      <a:tint val="30000"/>
                    </a:schemeClr>
                  </a:solidFill>
                  <a:round/>
                </a:ln>
              </c15:spPr>
              <c15:xForSave val="1"/>
            </c:ext>
          </c:extLst>
        </c:dLbl>
      </c:pivotFmt>
      <c:pivotFmt>
        <c:idx val="20"/>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marker>
          <c:symbol val="none"/>
        </c:marker>
        <c:dLbl>
          <c:idx val="0"/>
          <c:spPr>
            <a:solidFill>
              <a:sysClr val="window" lastClr="FFFFFF">
                <a:alpha val="90000"/>
              </a:sysClr>
            </a:solidFill>
            <a:ln w="12700" cap="flat" cmpd="sng" algn="ctr">
              <a:solidFill>
                <a:srgbClr val="156082">
                  <a:tint val="65000"/>
                </a:srgbClr>
              </a:solidFill>
              <a:round/>
            </a:ln>
            <a:effectLst>
              <a:outerShdw blurRad="50800" dist="38100" dir="2700000" algn="tl" rotWithShape="0">
                <a:srgbClr val="156082">
                  <a:tint val="65000"/>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tint val="65000"/>
                    </a:schemeClr>
                  </a:solidFill>
                  <a:effectLst/>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solidFill>
                  <a:schemeClr val="lt1">
                    <a:alpha val="90000"/>
                  </a:schemeClr>
                </a:solidFill>
                <a:ln w="12700" cap="flat" cmpd="sng" algn="ctr">
                  <a:solidFill>
                    <a:schemeClr val="accent1">
                      <a:tint val="30000"/>
                    </a:schemeClr>
                  </a:solidFill>
                  <a:round/>
                </a:ln>
              </c15:spPr>
            </c:ext>
          </c:extLst>
        </c:dLbl>
      </c:pivotFmt>
      <c:pivotFmt>
        <c:idx val="21"/>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dLbl>
          <c:idx val="0"/>
          <c:spPr>
            <a:solidFill>
              <a:sysClr val="window" lastClr="FFFFFF">
                <a:alpha val="90000"/>
              </a:sysClr>
            </a:solidFill>
            <a:ln w="12700" cap="flat" cmpd="sng" algn="ctr">
              <a:solidFill>
                <a:srgbClr val="156082">
                  <a:tint val="65000"/>
                </a:srgbClr>
              </a:solidFill>
              <a:round/>
            </a:ln>
            <a:effectLst>
              <a:outerShdw blurRad="50800" dist="38100" dir="2700000" algn="tl" rotWithShape="0">
                <a:srgbClr val="156082">
                  <a:tint val="65000"/>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tint val="65000"/>
                    </a:schemeClr>
                  </a:solidFill>
                  <a:effectLst/>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solidFill>
                  <a:schemeClr val="lt1">
                    <a:alpha val="90000"/>
                  </a:schemeClr>
                </a:solidFill>
                <a:ln w="12700" cap="flat" cmpd="sng" algn="ctr">
                  <a:solidFill>
                    <a:schemeClr val="accent1">
                      <a:tint val="30000"/>
                    </a:schemeClr>
                  </a:solidFill>
                  <a:round/>
                </a:ln>
              </c15:spPr>
              <c15:xForSave val="1"/>
            </c:ext>
          </c:extLst>
        </c:dLbl>
      </c:pivotFmt>
      <c:pivotFmt>
        <c:idx val="22"/>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dLbl>
          <c:idx val="0"/>
          <c:spPr>
            <a:solidFill>
              <a:sysClr val="window" lastClr="FFFFFF">
                <a:alpha val="90000"/>
              </a:sysClr>
            </a:solidFill>
            <a:ln w="12700" cap="flat" cmpd="sng" algn="ctr">
              <a:solidFill>
                <a:srgbClr val="156082">
                  <a:tint val="65000"/>
                </a:srgbClr>
              </a:solidFill>
              <a:round/>
            </a:ln>
            <a:effectLst>
              <a:outerShdw blurRad="50800" dist="38100" dir="2700000" algn="tl" rotWithShape="0">
                <a:srgbClr val="156082">
                  <a:tint val="65000"/>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tint val="65000"/>
                    </a:schemeClr>
                  </a:solidFill>
                  <a:effectLst/>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solidFill>
                  <a:schemeClr val="lt1">
                    <a:alpha val="90000"/>
                  </a:schemeClr>
                </a:solidFill>
                <a:ln w="12700" cap="flat" cmpd="sng" algn="ctr">
                  <a:solidFill>
                    <a:schemeClr val="accent1">
                      <a:tint val="30000"/>
                    </a:schemeClr>
                  </a:solidFill>
                  <a:round/>
                </a:ln>
              </c15:spPr>
              <c15:xForSave val="1"/>
            </c:ext>
          </c:extLst>
        </c:dLbl>
      </c:pivotFmt>
      <c:pivotFmt>
        <c:idx val="23"/>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dLbl>
          <c:idx val="0"/>
          <c:spPr>
            <a:solidFill>
              <a:sysClr val="window" lastClr="FFFFFF">
                <a:alpha val="90000"/>
              </a:sysClr>
            </a:solidFill>
            <a:ln w="12700" cap="flat" cmpd="sng" algn="ctr">
              <a:solidFill>
                <a:srgbClr val="156082">
                  <a:tint val="65000"/>
                </a:srgbClr>
              </a:solidFill>
              <a:round/>
            </a:ln>
            <a:effectLst>
              <a:outerShdw blurRad="50800" dist="38100" dir="2700000" algn="tl" rotWithShape="0">
                <a:srgbClr val="156082">
                  <a:tint val="65000"/>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tint val="65000"/>
                    </a:schemeClr>
                  </a:solidFill>
                  <a:effectLst/>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solidFill>
                  <a:schemeClr val="lt1">
                    <a:alpha val="90000"/>
                  </a:schemeClr>
                </a:solidFill>
                <a:ln w="12700" cap="flat" cmpd="sng" algn="ctr">
                  <a:solidFill>
                    <a:schemeClr val="accent1">
                      <a:tint val="30000"/>
                    </a:schemeClr>
                  </a:solidFill>
                  <a:round/>
                </a:ln>
              </c15:spPr>
              <c15:xForSave val="1"/>
            </c:ext>
          </c:extLst>
        </c:dLbl>
      </c:pivotFmt>
      <c:pivotFmt>
        <c:idx val="24"/>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marker>
          <c:symbol val="none"/>
        </c:marker>
        <c:dLbl>
          <c:idx val="0"/>
          <c:spPr>
            <a:solidFill>
              <a:sysClr val="window" lastClr="FFFFFF">
                <a:alpha val="90000"/>
              </a:sysClr>
            </a:solidFill>
            <a:ln w="12700" cap="flat" cmpd="sng" algn="ctr">
              <a:solidFill>
                <a:srgbClr val="156082">
                  <a:shade val="65000"/>
                </a:srgbClr>
              </a:solidFill>
              <a:round/>
            </a:ln>
            <a:effectLst>
              <a:outerShdw blurRad="50800" dist="38100" dir="2700000" algn="tl" rotWithShape="0">
                <a:srgbClr val="156082">
                  <a:shade val="65000"/>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hade val="65000"/>
                    </a:schemeClr>
                  </a:solidFill>
                  <a:effectLst/>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solidFill>
                  <a:schemeClr val="lt1">
                    <a:alpha val="90000"/>
                  </a:schemeClr>
                </a:solidFill>
                <a:ln w="12700" cap="flat" cmpd="sng" algn="ctr">
                  <a:solidFill>
                    <a:schemeClr val="accent1">
                      <a:tint val="30000"/>
                    </a:schemeClr>
                  </a:solidFill>
                  <a:round/>
                </a:ln>
              </c15:spPr>
            </c:ext>
          </c:extLst>
        </c:dLbl>
      </c:pivotFmt>
      <c:pivotFmt>
        <c:idx val="25"/>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dLbl>
          <c:idx val="0"/>
          <c:spPr>
            <a:solidFill>
              <a:sysClr val="window" lastClr="FFFFFF">
                <a:alpha val="90000"/>
              </a:sysClr>
            </a:solidFill>
            <a:ln w="12700" cap="flat" cmpd="sng" algn="ctr">
              <a:solidFill>
                <a:srgbClr val="156082">
                  <a:shade val="65000"/>
                </a:srgbClr>
              </a:solidFill>
              <a:round/>
            </a:ln>
            <a:effectLst>
              <a:outerShdw blurRad="50800" dist="38100" dir="2700000" algn="tl" rotWithShape="0">
                <a:srgbClr val="156082">
                  <a:shade val="65000"/>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hade val="65000"/>
                    </a:schemeClr>
                  </a:solidFill>
                  <a:effectLst/>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solidFill>
                  <a:schemeClr val="lt1">
                    <a:alpha val="90000"/>
                  </a:schemeClr>
                </a:solidFill>
                <a:ln w="12700" cap="flat" cmpd="sng" algn="ctr">
                  <a:solidFill>
                    <a:schemeClr val="accent1">
                      <a:tint val="30000"/>
                    </a:schemeClr>
                  </a:solidFill>
                  <a:round/>
                </a:ln>
              </c15:spPr>
            </c:ext>
          </c:extLst>
        </c:dLbl>
      </c:pivotFmt>
      <c:pivotFmt>
        <c:idx val="26"/>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dLbl>
          <c:idx val="0"/>
          <c:spPr>
            <a:solidFill>
              <a:sysClr val="window" lastClr="FFFFFF">
                <a:alpha val="90000"/>
              </a:sysClr>
            </a:solidFill>
            <a:ln w="12700" cap="flat" cmpd="sng" algn="ctr">
              <a:solidFill>
                <a:srgbClr val="156082">
                  <a:shade val="65000"/>
                </a:srgbClr>
              </a:solidFill>
              <a:round/>
            </a:ln>
            <a:effectLst>
              <a:outerShdw blurRad="50800" dist="38100" dir="2700000" algn="tl" rotWithShape="0">
                <a:srgbClr val="156082">
                  <a:shade val="65000"/>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hade val="65000"/>
                    </a:schemeClr>
                  </a:solidFill>
                  <a:effectLst/>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solidFill>
                  <a:schemeClr val="lt1">
                    <a:alpha val="90000"/>
                  </a:schemeClr>
                </a:solidFill>
                <a:ln w="12700" cap="flat" cmpd="sng" algn="ctr">
                  <a:solidFill>
                    <a:schemeClr val="accent1">
                      <a:tint val="30000"/>
                    </a:schemeClr>
                  </a:solidFill>
                  <a:round/>
                </a:ln>
              </c15:spPr>
            </c:ext>
          </c:extLst>
        </c:dLbl>
      </c:pivotFmt>
      <c:pivotFmt>
        <c:idx val="27"/>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dLbl>
          <c:idx val="0"/>
          <c:spPr>
            <a:solidFill>
              <a:sysClr val="window" lastClr="FFFFFF">
                <a:alpha val="90000"/>
              </a:sysClr>
            </a:solidFill>
            <a:ln w="12700" cap="flat" cmpd="sng" algn="ctr">
              <a:solidFill>
                <a:srgbClr val="156082">
                  <a:shade val="65000"/>
                </a:srgbClr>
              </a:solidFill>
              <a:round/>
            </a:ln>
            <a:effectLst>
              <a:outerShdw blurRad="50800" dist="38100" dir="2700000" algn="tl" rotWithShape="0">
                <a:srgbClr val="156082">
                  <a:shade val="65000"/>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hade val="65000"/>
                    </a:schemeClr>
                  </a:solidFill>
                  <a:effectLst/>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solidFill>
                  <a:schemeClr val="lt1">
                    <a:alpha val="90000"/>
                  </a:schemeClr>
                </a:solidFill>
                <a:ln w="12700" cap="flat" cmpd="sng" algn="ctr">
                  <a:solidFill>
                    <a:schemeClr val="accent1">
                      <a:tint val="30000"/>
                    </a:schemeClr>
                  </a:solidFill>
                  <a:round/>
                </a:ln>
              </c15:spPr>
            </c:ext>
          </c:extLst>
        </c:dLbl>
      </c:pivotFmt>
      <c:pivotFmt>
        <c:idx val="28"/>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marker>
          <c:symbol val="none"/>
        </c:marker>
        <c:dLbl>
          <c:idx val="0"/>
          <c:spPr>
            <a:solidFill>
              <a:sysClr val="window" lastClr="FFFFFF">
                <a:alpha val="90000"/>
              </a:sysClr>
            </a:solidFill>
            <a:ln w="12700" cap="flat" cmpd="sng" algn="ctr">
              <a:solidFill>
                <a:srgbClr val="156082"/>
              </a:solidFill>
              <a:round/>
            </a:ln>
            <a:effectLst>
              <a:outerShdw blurRad="50800" dist="38100" dir="2700000" algn="tl" rotWithShape="0">
                <a:srgbClr val="156082">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solidFill>
                  <a:schemeClr val="lt1">
                    <a:alpha val="90000"/>
                  </a:schemeClr>
                </a:solidFill>
                <a:ln w="12700" cap="flat" cmpd="sng" algn="ctr">
                  <a:solidFill>
                    <a:schemeClr val="accent1">
                      <a:tint val="30000"/>
                    </a:schemeClr>
                  </a:solidFill>
                  <a:round/>
                </a:ln>
              </c15:spPr>
            </c:ext>
          </c:extLst>
        </c:dLbl>
      </c:pivotFmt>
      <c:pivotFmt>
        <c:idx val="29"/>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dLbl>
          <c:idx val="0"/>
          <c:spPr>
            <a:solidFill>
              <a:sysClr val="window" lastClr="FFFFFF">
                <a:alpha val="90000"/>
              </a:sysClr>
            </a:solidFill>
            <a:ln w="12700" cap="flat" cmpd="sng" algn="ctr">
              <a:solidFill>
                <a:srgbClr val="156082"/>
              </a:solidFill>
              <a:round/>
            </a:ln>
            <a:effectLst>
              <a:outerShdw blurRad="50800" dist="38100" dir="2700000" algn="tl" rotWithShape="0">
                <a:srgbClr val="156082">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solidFill>
                  <a:schemeClr val="lt1">
                    <a:alpha val="90000"/>
                  </a:schemeClr>
                </a:solidFill>
                <a:ln w="12700" cap="flat" cmpd="sng" algn="ctr">
                  <a:solidFill>
                    <a:schemeClr val="accent1">
                      <a:tint val="30000"/>
                    </a:schemeClr>
                  </a:solidFill>
                  <a:round/>
                </a:ln>
              </c15:spPr>
            </c:ext>
          </c:extLst>
        </c:dLbl>
      </c:pivotFmt>
      <c:pivotFmt>
        <c:idx val="30"/>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dLbl>
          <c:idx val="0"/>
          <c:spPr>
            <a:solidFill>
              <a:sysClr val="window" lastClr="FFFFFF">
                <a:alpha val="90000"/>
              </a:sysClr>
            </a:solidFill>
            <a:ln w="12700" cap="flat" cmpd="sng" algn="ctr">
              <a:solidFill>
                <a:srgbClr val="156082"/>
              </a:solidFill>
              <a:round/>
            </a:ln>
            <a:effectLst>
              <a:outerShdw blurRad="50800" dist="38100" dir="2700000" algn="tl" rotWithShape="0">
                <a:srgbClr val="156082">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solidFill>
                  <a:schemeClr val="lt1">
                    <a:alpha val="90000"/>
                  </a:schemeClr>
                </a:solidFill>
                <a:ln w="12700" cap="flat" cmpd="sng" algn="ctr">
                  <a:solidFill>
                    <a:schemeClr val="accent1">
                      <a:tint val="30000"/>
                    </a:schemeClr>
                  </a:solidFill>
                  <a:round/>
                </a:ln>
              </c15:spPr>
            </c:ext>
          </c:extLst>
        </c:dLbl>
      </c:pivotFmt>
      <c:pivotFmt>
        <c:idx val="31"/>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dLbl>
          <c:idx val="0"/>
          <c:spPr>
            <a:solidFill>
              <a:sysClr val="window" lastClr="FFFFFF">
                <a:alpha val="90000"/>
              </a:sysClr>
            </a:solidFill>
            <a:ln w="12700" cap="flat" cmpd="sng" algn="ctr">
              <a:solidFill>
                <a:srgbClr val="156082"/>
              </a:solidFill>
              <a:round/>
            </a:ln>
            <a:effectLst>
              <a:outerShdw blurRad="50800" dist="38100" dir="2700000" algn="tl" rotWithShape="0">
                <a:srgbClr val="156082">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solidFill>
                  <a:schemeClr val="lt1">
                    <a:alpha val="90000"/>
                  </a:schemeClr>
                </a:solidFill>
                <a:ln w="12700" cap="flat" cmpd="sng" algn="ctr">
                  <a:solidFill>
                    <a:schemeClr val="accent1">
                      <a:tint val="30000"/>
                    </a:schemeClr>
                  </a:solidFill>
                  <a:round/>
                </a:ln>
              </c15:spPr>
            </c:ext>
          </c:extLst>
        </c:dLbl>
      </c:pivotFmt>
      <c:pivotFmt>
        <c:idx val="32"/>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marker>
          <c:symbol val="none"/>
        </c:marker>
        <c:dLbl>
          <c:idx val="0"/>
          <c:spPr>
            <a:solidFill>
              <a:sysClr val="window" lastClr="FFFFFF">
                <a:alpha val="90000"/>
              </a:sysClr>
            </a:solidFill>
            <a:ln w="12700" cap="flat" cmpd="sng" algn="ctr">
              <a:solidFill>
                <a:srgbClr val="156082">
                  <a:tint val="65000"/>
                </a:srgbClr>
              </a:solidFill>
              <a:round/>
            </a:ln>
            <a:effectLst>
              <a:outerShdw blurRad="50800" dist="38100" dir="2700000" algn="tl" rotWithShape="0">
                <a:srgbClr val="156082">
                  <a:tint val="65000"/>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tint val="65000"/>
                    </a:schemeClr>
                  </a:solidFill>
                  <a:effectLst/>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solidFill>
                  <a:schemeClr val="lt1">
                    <a:alpha val="90000"/>
                  </a:schemeClr>
                </a:solidFill>
                <a:ln w="12700" cap="flat" cmpd="sng" algn="ctr">
                  <a:solidFill>
                    <a:schemeClr val="accent1">
                      <a:tint val="30000"/>
                    </a:schemeClr>
                  </a:solidFill>
                  <a:round/>
                </a:ln>
              </c15:spPr>
            </c:ext>
          </c:extLst>
        </c:dLbl>
      </c:pivotFmt>
      <c:pivotFmt>
        <c:idx val="33"/>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dLbl>
          <c:idx val="0"/>
          <c:spPr>
            <a:solidFill>
              <a:sysClr val="window" lastClr="FFFFFF">
                <a:alpha val="90000"/>
              </a:sysClr>
            </a:solidFill>
            <a:ln w="12700" cap="flat" cmpd="sng" algn="ctr">
              <a:solidFill>
                <a:srgbClr val="156082">
                  <a:tint val="65000"/>
                </a:srgbClr>
              </a:solidFill>
              <a:round/>
            </a:ln>
            <a:effectLst>
              <a:outerShdw blurRad="50800" dist="38100" dir="2700000" algn="tl" rotWithShape="0">
                <a:srgbClr val="156082">
                  <a:tint val="65000"/>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tint val="65000"/>
                    </a:schemeClr>
                  </a:solidFill>
                  <a:effectLst/>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solidFill>
                  <a:schemeClr val="lt1">
                    <a:alpha val="90000"/>
                  </a:schemeClr>
                </a:solidFill>
                <a:ln w="12700" cap="flat" cmpd="sng" algn="ctr">
                  <a:solidFill>
                    <a:schemeClr val="accent1">
                      <a:tint val="30000"/>
                    </a:schemeClr>
                  </a:solidFill>
                  <a:round/>
                </a:ln>
              </c15:spPr>
            </c:ext>
          </c:extLst>
        </c:dLbl>
      </c:pivotFmt>
      <c:pivotFmt>
        <c:idx val="34"/>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dLbl>
          <c:idx val="0"/>
          <c:spPr>
            <a:solidFill>
              <a:sysClr val="window" lastClr="FFFFFF">
                <a:alpha val="90000"/>
              </a:sysClr>
            </a:solidFill>
            <a:ln w="12700" cap="flat" cmpd="sng" algn="ctr">
              <a:solidFill>
                <a:srgbClr val="156082">
                  <a:tint val="65000"/>
                </a:srgbClr>
              </a:solidFill>
              <a:round/>
            </a:ln>
            <a:effectLst>
              <a:outerShdw blurRad="50800" dist="38100" dir="2700000" algn="tl" rotWithShape="0">
                <a:srgbClr val="156082">
                  <a:tint val="65000"/>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tint val="65000"/>
                    </a:schemeClr>
                  </a:solidFill>
                  <a:effectLst/>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solidFill>
                  <a:schemeClr val="lt1">
                    <a:alpha val="90000"/>
                  </a:schemeClr>
                </a:solidFill>
                <a:ln w="12700" cap="flat" cmpd="sng" algn="ctr">
                  <a:solidFill>
                    <a:schemeClr val="accent1">
                      <a:tint val="30000"/>
                    </a:schemeClr>
                  </a:solidFill>
                  <a:round/>
                </a:ln>
              </c15:spPr>
            </c:ext>
          </c:extLst>
        </c:dLbl>
      </c:pivotFmt>
      <c:pivotFmt>
        <c:idx val="35"/>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dLbl>
          <c:idx val="0"/>
          <c:spPr>
            <a:solidFill>
              <a:sysClr val="window" lastClr="FFFFFF">
                <a:alpha val="90000"/>
              </a:sysClr>
            </a:solidFill>
            <a:ln w="12700" cap="flat" cmpd="sng" algn="ctr">
              <a:solidFill>
                <a:srgbClr val="156082">
                  <a:tint val="65000"/>
                </a:srgbClr>
              </a:solidFill>
              <a:round/>
            </a:ln>
            <a:effectLst>
              <a:outerShdw blurRad="50800" dist="38100" dir="2700000" algn="tl" rotWithShape="0">
                <a:srgbClr val="156082">
                  <a:tint val="65000"/>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tint val="65000"/>
                    </a:schemeClr>
                  </a:solidFill>
                  <a:effectLst/>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solidFill>
                  <a:schemeClr val="lt1">
                    <a:alpha val="90000"/>
                  </a:schemeClr>
                </a:solidFill>
                <a:ln w="12700" cap="flat" cmpd="sng" algn="ctr">
                  <a:solidFill>
                    <a:schemeClr val="accent1">
                      <a:tint val="30000"/>
                    </a:schemeClr>
                  </a:solidFill>
                  <a:round/>
                </a:ln>
              </c15:spPr>
            </c:ext>
          </c:extLst>
        </c:dLbl>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'Rating Category'!$B$3</c:f>
              <c:strCache>
                <c:ptCount val="1"/>
                <c:pt idx="0">
                  <c:v>Count of Product</c:v>
                </c:pt>
              </c:strCache>
            </c:strRef>
          </c:tx>
          <c:dPt>
            <c:idx val="0"/>
            <c:bubble3D val="0"/>
            <c:spPr>
              <a:solidFill>
                <a:schemeClr val="accent1">
                  <a:shade val="65000"/>
                  <a:alpha val="90000"/>
                </a:schemeClr>
              </a:solidFill>
              <a:ln w="19050">
                <a:solidFill>
                  <a:schemeClr val="accent1">
                    <a:shade val="65000"/>
                    <a:lumMod val="75000"/>
                  </a:schemeClr>
                </a:solidFill>
              </a:ln>
              <a:effectLst>
                <a:innerShdw blurRad="114300">
                  <a:schemeClr val="accent1">
                    <a:shade val="65000"/>
                    <a:lumMod val="75000"/>
                  </a:schemeClr>
                </a:innerShdw>
              </a:effectLst>
              <a:scene3d>
                <a:camera prst="orthographicFront"/>
                <a:lightRig rig="threePt" dir="t"/>
              </a:scene3d>
              <a:sp3d contourW="19050" prstMaterial="flat">
                <a:contourClr>
                  <a:schemeClr val="accent1">
                    <a:shade val="65000"/>
                    <a:lumMod val="75000"/>
                  </a:schemeClr>
                </a:contourClr>
              </a:sp3d>
            </c:spPr>
            <c:extLst>
              <c:ext xmlns:c16="http://schemas.microsoft.com/office/drawing/2014/chart" uri="{C3380CC4-5D6E-409C-BE32-E72D297353CC}">
                <c16:uniqueId val="{00000001-1E5A-4C24-BF77-E70DD6F52565}"/>
              </c:ext>
            </c:extLst>
          </c:dPt>
          <c:dPt>
            <c:idx val="1"/>
            <c:bubble3D val="0"/>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extLst>
              <c:ext xmlns:c16="http://schemas.microsoft.com/office/drawing/2014/chart" uri="{C3380CC4-5D6E-409C-BE32-E72D297353CC}">
                <c16:uniqueId val="{00000003-1E5A-4C24-BF77-E70DD6F52565}"/>
              </c:ext>
            </c:extLst>
          </c:dPt>
          <c:dPt>
            <c:idx val="2"/>
            <c:bubble3D val="0"/>
            <c:spPr>
              <a:solidFill>
                <a:schemeClr val="accent1">
                  <a:tint val="65000"/>
                  <a:alpha val="90000"/>
                </a:schemeClr>
              </a:solidFill>
              <a:ln w="19050">
                <a:solidFill>
                  <a:schemeClr val="accent1">
                    <a:tint val="65000"/>
                    <a:lumMod val="75000"/>
                  </a:schemeClr>
                </a:solidFill>
              </a:ln>
              <a:effectLst>
                <a:innerShdw blurRad="114300">
                  <a:schemeClr val="accent1">
                    <a:tint val="65000"/>
                    <a:lumMod val="75000"/>
                  </a:schemeClr>
                </a:innerShdw>
              </a:effectLst>
              <a:scene3d>
                <a:camera prst="orthographicFront"/>
                <a:lightRig rig="threePt" dir="t"/>
              </a:scene3d>
              <a:sp3d contourW="19050" prstMaterial="flat">
                <a:contourClr>
                  <a:schemeClr val="accent1">
                    <a:tint val="65000"/>
                    <a:lumMod val="75000"/>
                  </a:schemeClr>
                </a:contourClr>
              </a:sp3d>
            </c:spPr>
            <c:extLst>
              <c:ext xmlns:c16="http://schemas.microsoft.com/office/drawing/2014/chart" uri="{C3380CC4-5D6E-409C-BE32-E72D297353CC}">
                <c16:uniqueId val="{00000005-1E5A-4C24-BF77-E70DD6F52565}"/>
              </c:ext>
            </c:extLst>
          </c:dPt>
          <c:dLbls>
            <c:dLbl>
              <c:idx val="0"/>
              <c:spPr>
                <a:solidFill>
                  <a:sysClr val="window" lastClr="FFFFFF">
                    <a:alpha val="90000"/>
                  </a:sysClr>
                </a:solidFill>
                <a:ln w="12700" cap="flat" cmpd="sng" algn="ctr">
                  <a:solidFill>
                    <a:srgbClr val="156082">
                      <a:shade val="65000"/>
                    </a:srgbClr>
                  </a:solidFill>
                  <a:round/>
                </a:ln>
                <a:effectLst>
                  <a:outerShdw blurRad="50800" dist="38100" dir="2700000" algn="tl" rotWithShape="0">
                    <a:srgbClr val="156082">
                      <a:shade val="65000"/>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hade val="65000"/>
                        </a:schemeClr>
                      </a:solidFill>
                      <a:effectLst/>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solidFill>
                      <a:schemeClr val="lt1">
                        <a:alpha val="90000"/>
                      </a:schemeClr>
                    </a:solidFill>
                    <a:ln w="12700" cap="flat" cmpd="sng" algn="ctr">
                      <a:solidFill>
                        <a:schemeClr val="accent1">
                          <a:tint val="30000"/>
                        </a:schemeClr>
                      </a:solidFill>
                      <a:round/>
                    </a:ln>
                  </c15:spPr>
                </c:ext>
                <c:ext xmlns:c16="http://schemas.microsoft.com/office/drawing/2014/chart" uri="{C3380CC4-5D6E-409C-BE32-E72D297353CC}">
                  <c16:uniqueId val="{00000001-1E5A-4C24-BF77-E70DD6F52565}"/>
                </c:ext>
              </c:extLst>
            </c:dLbl>
            <c:dLbl>
              <c:idx val="1"/>
              <c:spPr>
                <a:solidFill>
                  <a:sysClr val="window" lastClr="FFFFFF">
                    <a:alpha val="90000"/>
                  </a:sysClr>
                </a:solidFill>
                <a:ln w="12700" cap="flat" cmpd="sng" algn="ctr">
                  <a:solidFill>
                    <a:srgbClr val="156082">
                      <a:shade val="65000"/>
                    </a:srgbClr>
                  </a:solidFill>
                  <a:round/>
                </a:ln>
                <a:effectLst>
                  <a:outerShdw blurRad="50800" dist="38100" dir="2700000" algn="tl" rotWithShape="0">
                    <a:srgbClr val="156082">
                      <a:shade val="65000"/>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hade val="65000"/>
                        </a:schemeClr>
                      </a:solidFill>
                      <a:effectLst/>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solidFill>
                      <a:schemeClr val="lt1">
                        <a:alpha val="90000"/>
                      </a:schemeClr>
                    </a:solidFill>
                    <a:ln w="12700" cap="flat" cmpd="sng" algn="ctr">
                      <a:solidFill>
                        <a:schemeClr val="accent1">
                          <a:tint val="30000"/>
                        </a:schemeClr>
                      </a:solidFill>
                      <a:round/>
                    </a:ln>
                  </c15:spPr>
                </c:ext>
                <c:ext xmlns:c16="http://schemas.microsoft.com/office/drawing/2014/chart" uri="{C3380CC4-5D6E-409C-BE32-E72D297353CC}">
                  <c16:uniqueId val="{00000003-1E5A-4C24-BF77-E70DD6F52565}"/>
                </c:ext>
              </c:extLst>
            </c:dLbl>
            <c:dLbl>
              <c:idx val="2"/>
              <c:spPr>
                <a:solidFill>
                  <a:sysClr val="window" lastClr="FFFFFF">
                    <a:alpha val="90000"/>
                  </a:sysClr>
                </a:solidFill>
                <a:ln w="12700" cap="flat" cmpd="sng" algn="ctr">
                  <a:solidFill>
                    <a:srgbClr val="156082">
                      <a:shade val="65000"/>
                    </a:srgbClr>
                  </a:solidFill>
                  <a:round/>
                </a:ln>
                <a:effectLst>
                  <a:outerShdw blurRad="50800" dist="38100" dir="2700000" algn="tl" rotWithShape="0">
                    <a:srgbClr val="156082">
                      <a:shade val="65000"/>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hade val="65000"/>
                        </a:schemeClr>
                      </a:solidFill>
                      <a:effectLst/>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solidFill>
                      <a:schemeClr val="lt1">
                        <a:alpha val="90000"/>
                      </a:schemeClr>
                    </a:solidFill>
                    <a:ln w="12700" cap="flat" cmpd="sng" algn="ctr">
                      <a:solidFill>
                        <a:schemeClr val="accent1">
                          <a:tint val="30000"/>
                        </a:schemeClr>
                      </a:solidFill>
                      <a:round/>
                    </a:ln>
                  </c15:spPr>
                </c:ext>
                <c:ext xmlns:c16="http://schemas.microsoft.com/office/drawing/2014/chart" uri="{C3380CC4-5D6E-409C-BE32-E72D297353CC}">
                  <c16:uniqueId val="{00000005-1E5A-4C24-BF77-E70DD6F52565}"/>
                </c:ext>
              </c:extLst>
            </c:dLbl>
            <c:spPr>
              <a:solidFill>
                <a:sysClr val="window" lastClr="FFFFFF">
                  <a:alpha val="90000"/>
                </a:sysClr>
              </a:solidFill>
              <a:ln w="12700" cap="flat" cmpd="sng" algn="ctr">
                <a:solidFill>
                  <a:srgbClr val="156082">
                    <a:shade val="65000"/>
                  </a:srgbClr>
                </a:solidFill>
                <a:round/>
              </a:ln>
              <a:effectLst>
                <a:outerShdw blurRad="50800" dist="38100" dir="2700000" algn="tl" rotWithShape="0">
                  <a:srgbClr val="156082">
                    <a:shade val="65000"/>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hade val="65000"/>
                      </a:schemeClr>
                    </a:solidFill>
                    <a:effectLst/>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solidFill>
                    <a:schemeClr val="lt1">
                      <a:alpha val="90000"/>
                    </a:schemeClr>
                  </a:solidFill>
                  <a:ln w="12700" cap="flat" cmpd="sng" algn="ctr">
                    <a:solidFill>
                      <a:schemeClr val="accent1">
                        <a:tint val="30000"/>
                      </a:schemeClr>
                    </a:solidFill>
                    <a:round/>
                  </a:ln>
                </c15:spPr>
              </c:ext>
            </c:extLst>
          </c:dLbls>
          <c:cat>
            <c:strRef>
              <c:f>'Rating Category'!$A$4:$A$7</c:f>
              <c:strCache>
                <c:ptCount val="3"/>
                <c:pt idx="0">
                  <c:v>Average</c:v>
                </c:pt>
                <c:pt idx="1">
                  <c:v>Excellent</c:v>
                </c:pt>
                <c:pt idx="2">
                  <c:v>Poor</c:v>
                </c:pt>
              </c:strCache>
            </c:strRef>
          </c:cat>
          <c:val>
            <c:numRef>
              <c:f>'Rating Category'!$B$4:$B$7</c:f>
              <c:numCache>
                <c:formatCode>General</c:formatCode>
                <c:ptCount val="3"/>
                <c:pt idx="0">
                  <c:v>22</c:v>
                </c:pt>
                <c:pt idx="1">
                  <c:v>22</c:v>
                </c:pt>
                <c:pt idx="2">
                  <c:v>12</c:v>
                </c:pt>
              </c:numCache>
            </c:numRef>
          </c:val>
          <c:extLst>
            <c:ext xmlns:c16="http://schemas.microsoft.com/office/drawing/2014/chart" uri="{C3380CC4-5D6E-409C-BE32-E72D297353CC}">
              <c16:uniqueId val="{00000006-1E5A-4C24-BF77-E70DD6F52565}"/>
            </c:ext>
          </c:extLst>
        </c:ser>
        <c:ser>
          <c:idx val="1"/>
          <c:order val="1"/>
          <c:tx>
            <c:strRef>
              <c:f>'Rating Category'!$C$3</c:f>
              <c:strCache>
                <c:ptCount val="1"/>
                <c:pt idx="0">
                  <c:v>Average of Review</c:v>
                </c:pt>
              </c:strCache>
            </c:strRef>
          </c:tx>
          <c:dPt>
            <c:idx val="0"/>
            <c:bubble3D val="0"/>
            <c:spPr>
              <a:solidFill>
                <a:schemeClr val="accent1">
                  <a:shade val="65000"/>
                  <a:alpha val="90000"/>
                </a:schemeClr>
              </a:solidFill>
              <a:ln w="19050">
                <a:solidFill>
                  <a:schemeClr val="accent1">
                    <a:shade val="65000"/>
                    <a:lumMod val="75000"/>
                  </a:schemeClr>
                </a:solidFill>
              </a:ln>
              <a:effectLst>
                <a:innerShdw blurRad="114300">
                  <a:schemeClr val="accent1">
                    <a:shade val="65000"/>
                    <a:lumMod val="75000"/>
                  </a:schemeClr>
                </a:innerShdw>
              </a:effectLst>
              <a:scene3d>
                <a:camera prst="orthographicFront"/>
                <a:lightRig rig="threePt" dir="t"/>
              </a:scene3d>
              <a:sp3d contourW="19050" prstMaterial="flat">
                <a:contourClr>
                  <a:schemeClr val="accent1">
                    <a:shade val="65000"/>
                    <a:lumMod val="75000"/>
                  </a:schemeClr>
                </a:contourClr>
              </a:sp3d>
            </c:spPr>
            <c:extLst>
              <c:ext xmlns:c16="http://schemas.microsoft.com/office/drawing/2014/chart" uri="{C3380CC4-5D6E-409C-BE32-E72D297353CC}">
                <c16:uniqueId val="{00000008-1E5A-4C24-BF77-E70DD6F52565}"/>
              </c:ext>
            </c:extLst>
          </c:dPt>
          <c:dPt>
            <c:idx val="1"/>
            <c:bubble3D val="0"/>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extLst>
              <c:ext xmlns:c16="http://schemas.microsoft.com/office/drawing/2014/chart" uri="{C3380CC4-5D6E-409C-BE32-E72D297353CC}">
                <c16:uniqueId val="{0000000A-1E5A-4C24-BF77-E70DD6F52565}"/>
              </c:ext>
            </c:extLst>
          </c:dPt>
          <c:dPt>
            <c:idx val="2"/>
            <c:bubble3D val="0"/>
            <c:spPr>
              <a:solidFill>
                <a:schemeClr val="accent1">
                  <a:tint val="65000"/>
                  <a:alpha val="90000"/>
                </a:schemeClr>
              </a:solidFill>
              <a:ln w="19050">
                <a:solidFill>
                  <a:schemeClr val="accent1">
                    <a:tint val="65000"/>
                    <a:lumMod val="75000"/>
                  </a:schemeClr>
                </a:solidFill>
              </a:ln>
              <a:effectLst>
                <a:innerShdw blurRad="114300">
                  <a:schemeClr val="accent1">
                    <a:tint val="65000"/>
                    <a:lumMod val="75000"/>
                  </a:schemeClr>
                </a:innerShdw>
              </a:effectLst>
              <a:scene3d>
                <a:camera prst="orthographicFront"/>
                <a:lightRig rig="threePt" dir="t"/>
              </a:scene3d>
              <a:sp3d contourW="19050" prstMaterial="flat">
                <a:contourClr>
                  <a:schemeClr val="accent1">
                    <a:tint val="65000"/>
                    <a:lumMod val="75000"/>
                  </a:schemeClr>
                </a:contourClr>
              </a:sp3d>
            </c:spPr>
            <c:extLst>
              <c:ext xmlns:c16="http://schemas.microsoft.com/office/drawing/2014/chart" uri="{C3380CC4-5D6E-409C-BE32-E72D297353CC}">
                <c16:uniqueId val="{0000000C-1E5A-4C24-BF77-E70DD6F52565}"/>
              </c:ext>
            </c:extLst>
          </c:dPt>
          <c:dLbls>
            <c:dLbl>
              <c:idx val="0"/>
              <c:spPr>
                <a:solidFill>
                  <a:sysClr val="window" lastClr="FFFFFF">
                    <a:alpha val="90000"/>
                  </a:sysClr>
                </a:solidFill>
                <a:ln w="12700" cap="flat" cmpd="sng" algn="ctr">
                  <a:solidFill>
                    <a:srgbClr val="156082"/>
                  </a:solidFill>
                  <a:round/>
                </a:ln>
                <a:effectLst>
                  <a:outerShdw blurRad="50800" dist="38100" dir="2700000" algn="tl" rotWithShape="0">
                    <a:srgbClr val="156082">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solidFill>
                      <a:schemeClr val="lt1">
                        <a:alpha val="90000"/>
                      </a:schemeClr>
                    </a:solidFill>
                    <a:ln w="12700" cap="flat" cmpd="sng" algn="ctr">
                      <a:solidFill>
                        <a:schemeClr val="accent1">
                          <a:tint val="30000"/>
                        </a:schemeClr>
                      </a:solidFill>
                      <a:round/>
                    </a:ln>
                  </c15:spPr>
                </c:ext>
                <c:ext xmlns:c16="http://schemas.microsoft.com/office/drawing/2014/chart" uri="{C3380CC4-5D6E-409C-BE32-E72D297353CC}">
                  <c16:uniqueId val="{00000008-1E5A-4C24-BF77-E70DD6F52565}"/>
                </c:ext>
              </c:extLst>
            </c:dLbl>
            <c:dLbl>
              <c:idx val="1"/>
              <c:spPr>
                <a:solidFill>
                  <a:sysClr val="window" lastClr="FFFFFF">
                    <a:alpha val="90000"/>
                  </a:sysClr>
                </a:solidFill>
                <a:ln w="12700" cap="flat" cmpd="sng" algn="ctr">
                  <a:solidFill>
                    <a:srgbClr val="156082"/>
                  </a:solidFill>
                  <a:round/>
                </a:ln>
                <a:effectLst>
                  <a:outerShdw blurRad="50800" dist="38100" dir="2700000" algn="tl" rotWithShape="0">
                    <a:srgbClr val="156082">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solidFill>
                      <a:schemeClr val="lt1">
                        <a:alpha val="90000"/>
                      </a:schemeClr>
                    </a:solidFill>
                    <a:ln w="12700" cap="flat" cmpd="sng" algn="ctr">
                      <a:solidFill>
                        <a:schemeClr val="accent1">
                          <a:tint val="30000"/>
                        </a:schemeClr>
                      </a:solidFill>
                      <a:round/>
                    </a:ln>
                  </c15:spPr>
                </c:ext>
                <c:ext xmlns:c16="http://schemas.microsoft.com/office/drawing/2014/chart" uri="{C3380CC4-5D6E-409C-BE32-E72D297353CC}">
                  <c16:uniqueId val="{0000000A-1E5A-4C24-BF77-E70DD6F52565}"/>
                </c:ext>
              </c:extLst>
            </c:dLbl>
            <c:dLbl>
              <c:idx val="2"/>
              <c:spPr>
                <a:solidFill>
                  <a:sysClr val="window" lastClr="FFFFFF">
                    <a:alpha val="90000"/>
                  </a:sysClr>
                </a:solidFill>
                <a:ln w="12700" cap="flat" cmpd="sng" algn="ctr">
                  <a:solidFill>
                    <a:srgbClr val="156082"/>
                  </a:solidFill>
                  <a:round/>
                </a:ln>
                <a:effectLst>
                  <a:outerShdw blurRad="50800" dist="38100" dir="2700000" algn="tl" rotWithShape="0">
                    <a:srgbClr val="156082">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solidFill>
                      <a:schemeClr val="lt1">
                        <a:alpha val="90000"/>
                      </a:schemeClr>
                    </a:solidFill>
                    <a:ln w="12700" cap="flat" cmpd="sng" algn="ctr">
                      <a:solidFill>
                        <a:schemeClr val="accent1">
                          <a:tint val="30000"/>
                        </a:schemeClr>
                      </a:solidFill>
                      <a:round/>
                    </a:ln>
                  </c15:spPr>
                </c:ext>
                <c:ext xmlns:c16="http://schemas.microsoft.com/office/drawing/2014/chart" uri="{C3380CC4-5D6E-409C-BE32-E72D297353CC}">
                  <c16:uniqueId val="{0000000C-1E5A-4C24-BF77-E70DD6F52565}"/>
                </c:ext>
              </c:extLst>
            </c:dLbl>
            <c:spPr>
              <a:solidFill>
                <a:sysClr val="window" lastClr="FFFFFF">
                  <a:alpha val="90000"/>
                </a:sysClr>
              </a:solidFill>
              <a:ln w="12700" cap="flat" cmpd="sng" algn="ctr">
                <a:solidFill>
                  <a:srgbClr val="156082"/>
                </a:solidFill>
                <a:round/>
              </a:ln>
              <a:effectLst>
                <a:outerShdw blurRad="50800" dist="38100" dir="2700000" algn="tl" rotWithShape="0">
                  <a:srgbClr val="156082">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solidFill>
                    <a:schemeClr val="lt1">
                      <a:alpha val="90000"/>
                    </a:schemeClr>
                  </a:solidFill>
                  <a:ln w="12700" cap="flat" cmpd="sng" algn="ctr">
                    <a:solidFill>
                      <a:schemeClr val="accent1">
                        <a:tint val="30000"/>
                      </a:schemeClr>
                    </a:solidFill>
                    <a:round/>
                  </a:ln>
                </c15:spPr>
              </c:ext>
            </c:extLst>
          </c:dLbls>
          <c:cat>
            <c:strRef>
              <c:f>'Rating Category'!$A$4:$A$7</c:f>
              <c:strCache>
                <c:ptCount val="3"/>
                <c:pt idx="0">
                  <c:v>Average</c:v>
                </c:pt>
                <c:pt idx="1">
                  <c:v>Excellent</c:v>
                </c:pt>
                <c:pt idx="2">
                  <c:v>Poor</c:v>
                </c:pt>
              </c:strCache>
            </c:strRef>
          </c:cat>
          <c:val>
            <c:numRef>
              <c:f>'Rating Category'!$C$4:$C$7</c:f>
              <c:numCache>
                <c:formatCode>0.0</c:formatCode>
                <c:ptCount val="3"/>
                <c:pt idx="0">
                  <c:v>10.136363636363637</c:v>
                </c:pt>
                <c:pt idx="1">
                  <c:v>14.954545454545455</c:v>
                </c:pt>
                <c:pt idx="2">
                  <c:v>14.083333333333334</c:v>
                </c:pt>
              </c:numCache>
            </c:numRef>
          </c:val>
          <c:extLst>
            <c:ext xmlns:c16="http://schemas.microsoft.com/office/drawing/2014/chart" uri="{C3380CC4-5D6E-409C-BE32-E72D297353CC}">
              <c16:uniqueId val="{0000000D-1E5A-4C24-BF77-E70DD6F52565}"/>
            </c:ext>
          </c:extLst>
        </c:ser>
        <c:ser>
          <c:idx val="2"/>
          <c:order val="2"/>
          <c:tx>
            <c:strRef>
              <c:f>'Rating Category'!$D$3</c:f>
              <c:strCache>
                <c:ptCount val="1"/>
                <c:pt idx="0">
                  <c:v>Average of Ratings</c:v>
                </c:pt>
              </c:strCache>
            </c:strRef>
          </c:tx>
          <c:dPt>
            <c:idx val="0"/>
            <c:bubble3D val="0"/>
            <c:spPr>
              <a:solidFill>
                <a:schemeClr val="accent1">
                  <a:shade val="65000"/>
                  <a:alpha val="90000"/>
                </a:schemeClr>
              </a:solidFill>
              <a:ln w="19050">
                <a:solidFill>
                  <a:schemeClr val="accent1">
                    <a:shade val="65000"/>
                    <a:lumMod val="75000"/>
                  </a:schemeClr>
                </a:solidFill>
              </a:ln>
              <a:effectLst>
                <a:innerShdw blurRad="114300">
                  <a:schemeClr val="accent1">
                    <a:shade val="65000"/>
                    <a:lumMod val="75000"/>
                  </a:schemeClr>
                </a:innerShdw>
              </a:effectLst>
              <a:scene3d>
                <a:camera prst="orthographicFront"/>
                <a:lightRig rig="threePt" dir="t"/>
              </a:scene3d>
              <a:sp3d contourW="19050" prstMaterial="flat">
                <a:contourClr>
                  <a:schemeClr val="accent1">
                    <a:shade val="65000"/>
                    <a:lumMod val="75000"/>
                  </a:schemeClr>
                </a:contourClr>
              </a:sp3d>
            </c:spPr>
            <c:extLst>
              <c:ext xmlns:c16="http://schemas.microsoft.com/office/drawing/2014/chart" uri="{C3380CC4-5D6E-409C-BE32-E72D297353CC}">
                <c16:uniqueId val="{0000000F-1E5A-4C24-BF77-E70DD6F52565}"/>
              </c:ext>
            </c:extLst>
          </c:dPt>
          <c:dPt>
            <c:idx val="1"/>
            <c:bubble3D val="0"/>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extLst>
              <c:ext xmlns:c16="http://schemas.microsoft.com/office/drawing/2014/chart" uri="{C3380CC4-5D6E-409C-BE32-E72D297353CC}">
                <c16:uniqueId val="{00000011-1E5A-4C24-BF77-E70DD6F52565}"/>
              </c:ext>
            </c:extLst>
          </c:dPt>
          <c:dPt>
            <c:idx val="2"/>
            <c:bubble3D val="0"/>
            <c:spPr>
              <a:solidFill>
                <a:schemeClr val="accent1">
                  <a:tint val="65000"/>
                  <a:alpha val="90000"/>
                </a:schemeClr>
              </a:solidFill>
              <a:ln w="19050">
                <a:solidFill>
                  <a:schemeClr val="accent1">
                    <a:tint val="65000"/>
                    <a:lumMod val="75000"/>
                  </a:schemeClr>
                </a:solidFill>
              </a:ln>
              <a:effectLst>
                <a:innerShdw blurRad="114300">
                  <a:schemeClr val="accent1">
                    <a:tint val="65000"/>
                    <a:lumMod val="75000"/>
                  </a:schemeClr>
                </a:innerShdw>
              </a:effectLst>
              <a:scene3d>
                <a:camera prst="orthographicFront"/>
                <a:lightRig rig="threePt" dir="t"/>
              </a:scene3d>
              <a:sp3d contourW="19050" prstMaterial="flat">
                <a:contourClr>
                  <a:schemeClr val="accent1">
                    <a:tint val="65000"/>
                    <a:lumMod val="75000"/>
                  </a:schemeClr>
                </a:contourClr>
              </a:sp3d>
            </c:spPr>
            <c:extLst>
              <c:ext xmlns:c16="http://schemas.microsoft.com/office/drawing/2014/chart" uri="{C3380CC4-5D6E-409C-BE32-E72D297353CC}">
                <c16:uniqueId val="{00000013-1E5A-4C24-BF77-E70DD6F52565}"/>
              </c:ext>
            </c:extLst>
          </c:dPt>
          <c:dLbls>
            <c:dLbl>
              <c:idx val="0"/>
              <c:spPr>
                <a:solidFill>
                  <a:sysClr val="window" lastClr="FFFFFF">
                    <a:alpha val="90000"/>
                  </a:sysClr>
                </a:solidFill>
                <a:ln w="12700" cap="flat" cmpd="sng" algn="ctr">
                  <a:solidFill>
                    <a:srgbClr val="156082">
                      <a:tint val="65000"/>
                    </a:srgbClr>
                  </a:solidFill>
                  <a:round/>
                </a:ln>
                <a:effectLst>
                  <a:outerShdw blurRad="50800" dist="38100" dir="2700000" algn="tl" rotWithShape="0">
                    <a:srgbClr val="156082">
                      <a:tint val="65000"/>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tint val="65000"/>
                        </a:schemeClr>
                      </a:solidFill>
                      <a:effectLst/>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solidFill>
                      <a:schemeClr val="lt1">
                        <a:alpha val="90000"/>
                      </a:schemeClr>
                    </a:solidFill>
                    <a:ln w="12700" cap="flat" cmpd="sng" algn="ctr">
                      <a:solidFill>
                        <a:schemeClr val="accent1">
                          <a:tint val="30000"/>
                        </a:schemeClr>
                      </a:solidFill>
                      <a:round/>
                    </a:ln>
                  </c15:spPr>
                </c:ext>
                <c:ext xmlns:c16="http://schemas.microsoft.com/office/drawing/2014/chart" uri="{C3380CC4-5D6E-409C-BE32-E72D297353CC}">
                  <c16:uniqueId val="{0000000F-1E5A-4C24-BF77-E70DD6F52565}"/>
                </c:ext>
              </c:extLst>
            </c:dLbl>
            <c:dLbl>
              <c:idx val="1"/>
              <c:spPr>
                <a:solidFill>
                  <a:sysClr val="window" lastClr="FFFFFF">
                    <a:alpha val="90000"/>
                  </a:sysClr>
                </a:solidFill>
                <a:ln w="12700" cap="flat" cmpd="sng" algn="ctr">
                  <a:solidFill>
                    <a:srgbClr val="156082">
                      <a:tint val="65000"/>
                    </a:srgbClr>
                  </a:solidFill>
                  <a:round/>
                </a:ln>
                <a:effectLst>
                  <a:outerShdw blurRad="50800" dist="38100" dir="2700000" algn="tl" rotWithShape="0">
                    <a:srgbClr val="156082">
                      <a:tint val="65000"/>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tint val="65000"/>
                        </a:schemeClr>
                      </a:solidFill>
                      <a:effectLst/>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solidFill>
                      <a:schemeClr val="lt1">
                        <a:alpha val="90000"/>
                      </a:schemeClr>
                    </a:solidFill>
                    <a:ln w="12700" cap="flat" cmpd="sng" algn="ctr">
                      <a:solidFill>
                        <a:schemeClr val="accent1">
                          <a:tint val="30000"/>
                        </a:schemeClr>
                      </a:solidFill>
                      <a:round/>
                    </a:ln>
                  </c15:spPr>
                </c:ext>
                <c:ext xmlns:c16="http://schemas.microsoft.com/office/drawing/2014/chart" uri="{C3380CC4-5D6E-409C-BE32-E72D297353CC}">
                  <c16:uniqueId val="{00000011-1E5A-4C24-BF77-E70DD6F52565}"/>
                </c:ext>
              </c:extLst>
            </c:dLbl>
            <c:dLbl>
              <c:idx val="2"/>
              <c:spPr>
                <a:solidFill>
                  <a:sysClr val="window" lastClr="FFFFFF">
                    <a:alpha val="90000"/>
                  </a:sysClr>
                </a:solidFill>
                <a:ln w="12700" cap="flat" cmpd="sng" algn="ctr">
                  <a:solidFill>
                    <a:srgbClr val="156082">
                      <a:tint val="65000"/>
                    </a:srgbClr>
                  </a:solidFill>
                  <a:round/>
                </a:ln>
                <a:effectLst>
                  <a:outerShdw blurRad="50800" dist="38100" dir="2700000" algn="tl" rotWithShape="0">
                    <a:srgbClr val="156082">
                      <a:tint val="65000"/>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tint val="65000"/>
                        </a:schemeClr>
                      </a:solidFill>
                      <a:effectLst/>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solidFill>
                      <a:schemeClr val="lt1">
                        <a:alpha val="90000"/>
                      </a:schemeClr>
                    </a:solidFill>
                    <a:ln w="12700" cap="flat" cmpd="sng" algn="ctr">
                      <a:solidFill>
                        <a:schemeClr val="accent1">
                          <a:tint val="30000"/>
                        </a:schemeClr>
                      </a:solidFill>
                      <a:round/>
                    </a:ln>
                  </c15:spPr>
                </c:ext>
                <c:ext xmlns:c16="http://schemas.microsoft.com/office/drawing/2014/chart" uri="{C3380CC4-5D6E-409C-BE32-E72D297353CC}">
                  <c16:uniqueId val="{00000013-1E5A-4C24-BF77-E70DD6F52565}"/>
                </c:ext>
              </c:extLst>
            </c:dLbl>
            <c:spPr>
              <a:solidFill>
                <a:sysClr val="window" lastClr="FFFFFF">
                  <a:alpha val="90000"/>
                </a:sysClr>
              </a:solidFill>
              <a:ln w="12700" cap="flat" cmpd="sng" algn="ctr">
                <a:solidFill>
                  <a:srgbClr val="156082">
                    <a:tint val="65000"/>
                  </a:srgbClr>
                </a:solidFill>
                <a:round/>
              </a:ln>
              <a:effectLst>
                <a:outerShdw blurRad="50800" dist="38100" dir="2700000" algn="tl" rotWithShape="0">
                  <a:srgbClr val="156082">
                    <a:tint val="65000"/>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tint val="65000"/>
                      </a:schemeClr>
                    </a:solidFill>
                    <a:effectLst/>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solidFill>
                    <a:schemeClr val="lt1">
                      <a:alpha val="90000"/>
                    </a:schemeClr>
                  </a:solidFill>
                  <a:ln w="12700" cap="flat" cmpd="sng" algn="ctr">
                    <a:solidFill>
                      <a:schemeClr val="accent1">
                        <a:tint val="30000"/>
                      </a:schemeClr>
                    </a:solidFill>
                    <a:round/>
                  </a:ln>
                </c15:spPr>
              </c:ext>
            </c:extLst>
          </c:dLbls>
          <c:cat>
            <c:strRef>
              <c:f>'Rating Category'!$A$4:$A$7</c:f>
              <c:strCache>
                <c:ptCount val="3"/>
                <c:pt idx="0">
                  <c:v>Average</c:v>
                </c:pt>
                <c:pt idx="1">
                  <c:v>Excellent</c:v>
                </c:pt>
                <c:pt idx="2">
                  <c:v>Poor</c:v>
                </c:pt>
              </c:strCache>
            </c:strRef>
          </c:cat>
          <c:val>
            <c:numRef>
              <c:f>'Rating Category'!$D$4:$D$7</c:f>
              <c:numCache>
                <c:formatCode>0.0</c:formatCode>
                <c:ptCount val="3"/>
                <c:pt idx="0">
                  <c:v>3.8090909090909091</c:v>
                </c:pt>
                <c:pt idx="1">
                  <c:v>4.7590909090909079</c:v>
                </c:pt>
                <c:pt idx="2">
                  <c:v>2.3916666666666666</c:v>
                </c:pt>
              </c:numCache>
            </c:numRef>
          </c:val>
          <c:extLst>
            <c:ext xmlns:c16="http://schemas.microsoft.com/office/drawing/2014/chart" uri="{C3380CC4-5D6E-409C-BE32-E72D297353CC}">
              <c16:uniqueId val="{00000014-1E5A-4C24-BF77-E70DD6F52565}"/>
            </c:ext>
          </c:extLst>
        </c:ser>
        <c:dLbls>
          <c:showLegendKey val="0"/>
          <c:showVal val="0"/>
          <c:showCatName val="0"/>
          <c:showSerName val="0"/>
          <c:showPercent val="0"/>
          <c:showBubbleSize val="0"/>
          <c:showLeaderLines val="0"/>
        </c:dLbls>
      </c:pie3D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[Jumia Excel Dataset.xlsx]Discount Category!PivotTable3</c:name>
    <c:fmtId val="6"/>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US"/>
              <a:t>Discount Category</a:t>
            </a:r>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pattFill prst="ltUpDiag">
            <a:fgClr>
              <a:schemeClr val="accent1">
                <a:shade val="65000"/>
              </a:schemeClr>
            </a:fgClr>
            <a:bgClr>
              <a:schemeClr val="accent1">
                <a:shade val="65000"/>
                <a:lumMod val="20000"/>
                <a:lumOff val="80000"/>
              </a:schemeClr>
            </a:bgClr>
          </a:pattFill>
          <a:ln w="19050">
            <a:solidFill>
              <a:schemeClr val="lt1"/>
            </a:solidFill>
          </a:ln>
          <a:effectLst>
            <a:innerShdw blurRad="114300">
              <a:schemeClr val="accent1">
                <a:shade val="65000"/>
              </a:schemeClr>
            </a:innerShdw>
          </a:effectLst>
        </c:spPr>
      </c:pivotFmt>
      <c:pivotFmt>
        <c:idx val="3"/>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4"/>
        <c:spPr>
          <a:pattFill prst="ltUpDiag">
            <a:fgClr>
              <a:schemeClr val="accent1">
                <a:tint val="65000"/>
              </a:schemeClr>
            </a:fgClr>
            <a:bgClr>
              <a:schemeClr val="accent1">
                <a:tint val="65000"/>
                <a:lumMod val="20000"/>
                <a:lumOff val="80000"/>
              </a:schemeClr>
            </a:bgClr>
          </a:pattFill>
          <a:ln w="19050">
            <a:solidFill>
              <a:schemeClr val="lt1"/>
            </a:solidFill>
          </a:ln>
          <a:effectLst>
            <a:innerShdw blurRad="114300">
              <a:schemeClr val="accent1">
                <a:tint val="65000"/>
              </a:schemeClr>
            </a:innerShdw>
          </a:effectLst>
        </c:spPr>
      </c:pivotFmt>
      <c:pivotFmt>
        <c:idx val="5"/>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pattFill prst="ltUpDiag">
            <a:fgClr>
              <a:schemeClr val="accent1">
                <a:shade val="65000"/>
              </a:schemeClr>
            </a:fgClr>
            <a:bgClr>
              <a:schemeClr val="accent1">
                <a:shade val="65000"/>
                <a:lumMod val="20000"/>
                <a:lumOff val="80000"/>
              </a:schemeClr>
            </a:bgClr>
          </a:pattFill>
          <a:ln w="19050">
            <a:solidFill>
              <a:schemeClr val="lt1"/>
            </a:solidFill>
          </a:ln>
          <a:effectLst>
            <a:innerShdw blurRad="114300">
              <a:schemeClr val="accent1">
                <a:shade val="65000"/>
              </a:schemeClr>
            </a:innerShdw>
          </a:effectLst>
        </c:spPr>
      </c:pivotFmt>
      <c:pivotFmt>
        <c:idx val="7"/>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8"/>
        <c:spPr>
          <a:pattFill prst="ltUpDiag">
            <a:fgClr>
              <a:schemeClr val="accent1">
                <a:tint val="65000"/>
              </a:schemeClr>
            </a:fgClr>
            <a:bgClr>
              <a:schemeClr val="accent1">
                <a:tint val="65000"/>
                <a:lumMod val="20000"/>
                <a:lumOff val="80000"/>
              </a:schemeClr>
            </a:bgClr>
          </a:pattFill>
          <a:ln w="19050">
            <a:solidFill>
              <a:schemeClr val="lt1"/>
            </a:solidFill>
          </a:ln>
          <a:effectLst>
            <a:innerShdw blurRad="114300">
              <a:schemeClr val="accent1">
                <a:tint val="65000"/>
              </a:schemeClr>
            </a:innerShdw>
          </a:effectLst>
        </c:spPr>
      </c:pivotFmt>
    </c:pivotFmts>
    <c:plotArea>
      <c:layout/>
      <c:doughnutChart>
        <c:varyColors val="1"/>
        <c:ser>
          <c:idx val="0"/>
          <c:order val="0"/>
          <c:tx>
            <c:strRef>
              <c:f>'Discount Category'!$B$3</c:f>
              <c:strCache>
                <c:ptCount val="1"/>
                <c:pt idx="0">
                  <c:v>Total</c:v>
                </c:pt>
              </c:strCache>
            </c:strRef>
          </c:tx>
          <c:dPt>
            <c:idx val="0"/>
            <c:bubble3D val="0"/>
            <c:spPr>
              <a:pattFill prst="ltUpDiag">
                <a:fgClr>
                  <a:schemeClr val="accent1">
                    <a:shade val="65000"/>
                  </a:schemeClr>
                </a:fgClr>
                <a:bgClr>
                  <a:schemeClr val="accent1">
                    <a:shade val="65000"/>
                    <a:lumMod val="20000"/>
                    <a:lumOff val="80000"/>
                  </a:schemeClr>
                </a:bgClr>
              </a:pattFill>
              <a:ln w="19050">
                <a:solidFill>
                  <a:schemeClr val="lt1"/>
                </a:solidFill>
              </a:ln>
              <a:effectLst>
                <a:innerShdw blurRad="114300">
                  <a:schemeClr val="accent1">
                    <a:shade val="65000"/>
                  </a:schemeClr>
                </a:innerShdw>
              </a:effectLst>
            </c:spPr>
            <c:extLst>
              <c:ext xmlns:c16="http://schemas.microsoft.com/office/drawing/2014/chart" uri="{C3380CC4-5D6E-409C-BE32-E72D297353CC}">
                <c16:uniqueId val="{00000001-A43E-406F-9D5E-045E6CF392D2}"/>
              </c:ext>
            </c:extLst>
          </c:dPt>
          <c:dPt>
            <c:idx val="1"/>
            <c:bubble3D val="0"/>
            <c:spPr>
              <a:pattFill prst="ltUpDiag">
                <a:fgClr>
                  <a:schemeClr val="accent1">
                    <a:tint val="65000"/>
                  </a:schemeClr>
                </a:fgClr>
                <a:bgClr>
                  <a:schemeClr val="accent1">
                    <a:tint val="65000"/>
                    <a:lumMod val="20000"/>
                    <a:lumOff val="80000"/>
                  </a:schemeClr>
                </a:bgClr>
              </a:pattFill>
              <a:ln w="19050">
                <a:solidFill>
                  <a:schemeClr val="lt1"/>
                </a:solidFill>
              </a:ln>
              <a:effectLst>
                <a:innerShdw blurRad="114300">
                  <a:schemeClr val="accent1">
                    <a:tint val="65000"/>
                  </a:schemeClr>
                </a:innerShdw>
              </a:effectLst>
            </c:spPr>
            <c:extLst>
              <c:ext xmlns:c16="http://schemas.microsoft.com/office/drawing/2014/chart" uri="{C3380CC4-5D6E-409C-BE32-E72D297353CC}">
                <c16:uniqueId val="{00000003-A43E-406F-9D5E-045E6CF392D2}"/>
              </c:ext>
            </c:extLst>
          </c:dPt>
          <c:dPt>
            <c:idx val="2"/>
            <c:bubble3D val="0"/>
            <c:spPr>
              <a:pattFill prst="ltUpDiag">
                <a:fgClr>
                  <a:schemeClr val="accent1">
                    <a:tint val="30000"/>
                  </a:schemeClr>
                </a:fgClr>
                <a:bgClr>
                  <a:schemeClr val="accent1">
                    <a:tint val="30000"/>
                    <a:lumMod val="20000"/>
                    <a:lumOff val="80000"/>
                  </a:schemeClr>
                </a:bgClr>
              </a:pattFill>
              <a:ln w="19050">
                <a:solidFill>
                  <a:schemeClr val="lt1"/>
                </a:solidFill>
              </a:ln>
              <a:effectLst>
                <a:innerShdw blurRad="114300">
                  <a:schemeClr val="accent1">
                    <a:tint val="30000"/>
                  </a:schemeClr>
                </a:innerShdw>
              </a:effectLst>
            </c:spPr>
            <c:extLst>
              <c:ext xmlns:c16="http://schemas.microsoft.com/office/drawing/2014/chart" uri="{C3380CC4-5D6E-409C-BE32-E72D297353CC}">
                <c16:uniqueId val="{00000005-A43E-406F-9D5E-045E6CF392D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'Discount Category'!$A$4:$A$6</c:f>
              <c:strCache>
                <c:ptCount val="2"/>
                <c:pt idx="0">
                  <c:v>High Discount</c:v>
                </c:pt>
                <c:pt idx="1">
                  <c:v>Medium Discount</c:v>
                </c:pt>
              </c:strCache>
            </c:strRef>
          </c:cat>
          <c:val>
            <c:numRef>
              <c:f>'Discount Category'!$B$4:$B$6</c:f>
              <c:numCache>
                <c:formatCode>General</c:formatCode>
                <c:ptCount val="2"/>
                <c:pt idx="0">
                  <c:v>1</c:v>
                </c:pt>
                <c:pt idx="1">
                  <c:v>5</c:v>
                </c:pt>
              </c:numCache>
            </c:numRef>
          </c:val>
          <c:extLst>
            <c:ext xmlns:c16="http://schemas.microsoft.com/office/drawing/2014/chart" uri="{C3380CC4-5D6E-409C-BE32-E72D297353CC}">
              <c16:uniqueId val="{00000006-A43E-406F-9D5E-045E6CF392D2}"/>
            </c:ext>
          </c:extLst>
        </c:ser>
        <c:dLbls>
          <c:showLegendKey val="0"/>
          <c:showVal val="1"/>
          <c:showCatName val="0"/>
          <c:showSerName val="0"/>
          <c:showPercent val="0"/>
          <c:showBubbleSize val="0"/>
          <c:showLeaderLines val="1"/>
        </c:dLbls>
        <c:firstSliceAng val="0"/>
        <c:holeSize val="7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[Jumia Excel Dataset.xlsx]Rating Category!PivotTable6</c:name>
    <c:fmtId val="8"/>
  </c:pivotSource>
  <c:chart>
    <c:title>
      <c:tx>
        <c:rich>
          <a:bodyPr rot="0" spcFirstLastPara="1" vertOverflow="ellipsis" vert="horz" wrap="square" anchor="ctr" anchorCtr="1"/>
          <a:lstStyle/>
          <a:p>
            <a:pPr>
              <a:defRPr sz="1800" b="1" i="0" u="none" strike="noStrike" kern="1200" cap="all" baseline="0">
                <a:solidFill>
                  <a:schemeClr val="tx1">
                    <a:lumMod val="65000"/>
                    <a:lumOff val="35000"/>
                  </a:schemeClr>
                </a:solidFill>
                <a:latin typeface="+mn-lt"/>
                <a:ea typeface="+mn-ea"/>
                <a:cs typeface="+mn-cs"/>
              </a:defRPr>
            </a:pPr>
            <a:r>
              <a:rPr lang="en-US"/>
              <a:t>Rating Category</a:t>
            </a:r>
          </a:p>
        </c:rich>
      </c:tx>
      <c:overlay val="0"/>
      <c:spPr>
        <a:noFill/>
        <a:ln>
          <a:noFill/>
        </a:ln>
        <a:effectLst/>
      </c:spPr>
      <c:txPr>
        <a:bodyPr rot="0" spcFirstLastPara="1" vertOverflow="ellipsis" vert="horz" wrap="square" anchor="ctr" anchorCtr="1"/>
        <a:lstStyle/>
        <a:p>
          <a:pPr>
            <a:defRPr sz="1800" b="1" i="0" u="none" strike="noStrike" kern="1200" cap="all"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marker>
          <c:symbol val="circle"/>
          <c:size val="6"/>
        </c:marker>
        <c:dLbl>
          <c:idx val="0"/>
          <c:spPr>
            <a:solidFill>
              <a:sysClr val="window" lastClr="FFFFFF">
                <a:alpha val="90000"/>
              </a:sysClr>
            </a:solidFill>
            <a:ln w="12700" cap="flat" cmpd="sng" algn="ctr">
              <a:solidFill>
                <a:srgbClr val="156082">
                  <a:shade val="65000"/>
                </a:srgbClr>
              </a:solidFill>
              <a:round/>
            </a:ln>
            <a:effectLst>
              <a:outerShdw blurRad="50800" dist="38100" dir="2700000" algn="tl" rotWithShape="0">
                <a:srgbClr val="156082">
                  <a:shade val="65000"/>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solidFill>
                  <a:schemeClr val="lt1">
                    <a:alpha val="90000"/>
                  </a:schemeClr>
                </a:solidFill>
                <a:ln w="12700" cap="flat" cmpd="sng" algn="ctr">
                  <a:solidFill>
                    <a:schemeClr val="accent1">
                      <a:tint val="30000"/>
                    </a:schemeClr>
                  </a:solidFill>
                  <a:round/>
                </a:ln>
              </c15:spPr>
            </c:ext>
          </c:extLst>
        </c:dLbl>
      </c:pivotFmt>
      <c:pivotFmt>
        <c:idx val="1"/>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marker>
          <c:symbol val="circle"/>
          <c:size val="6"/>
        </c:marker>
        <c:dLbl>
          <c:idx val="0"/>
          <c:spPr>
            <a:solidFill>
              <a:sysClr val="window" lastClr="FFFFFF">
                <a:alpha val="90000"/>
              </a:sysClr>
            </a:solidFill>
            <a:ln w="12700" cap="flat" cmpd="sng" algn="ctr">
              <a:solidFill>
                <a:srgbClr val="156082"/>
              </a:solidFill>
              <a:round/>
            </a:ln>
            <a:effectLst>
              <a:outerShdw blurRad="50800" dist="38100" dir="2700000" algn="tl" rotWithShape="0">
                <a:srgbClr val="156082">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solidFill>
                  <a:schemeClr val="lt1">
                    <a:alpha val="90000"/>
                  </a:schemeClr>
                </a:solidFill>
                <a:ln w="12700" cap="flat" cmpd="sng" algn="ctr">
                  <a:solidFill>
                    <a:schemeClr val="accent1">
                      <a:tint val="30000"/>
                    </a:schemeClr>
                  </a:solidFill>
                  <a:round/>
                </a:ln>
              </c15:spPr>
            </c:ext>
          </c:extLst>
        </c:dLbl>
      </c:pivotFmt>
      <c:pivotFmt>
        <c:idx val="2"/>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marker>
          <c:symbol val="circle"/>
          <c:size val="6"/>
        </c:marker>
        <c:dLbl>
          <c:idx val="0"/>
          <c:spPr>
            <a:solidFill>
              <a:sysClr val="window" lastClr="FFFFFF">
                <a:alpha val="90000"/>
              </a:sysClr>
            </a:solidFill>
            <a:ln w="12700" cap="flat" cmpd="sng" algn="ctr">
              <a:solidFill>
                <a:srgbClr val="156082">
                  <a:tint val="65000"/>
                </a:srgbClr>
              </a:solidFill>
              <a:round/>
            </a:ln>
            <a:effectLst>
              <a:outerShdw blurRad="50800" dist="38100" dir="2700000" algn="tl" rotWithShape="0">
                <a:srgbClr val="156082">
                  <a:tint val="65000"/>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solidFill>
                  <a:schemeClr val="lt1">
                    <a:alpha val="90000"/>
                  </a:schemeClr>
                </a:solidFill>
                <a:ln w="12700" cap="flat" cmpd="sng" algn="ctr">
                  <a:solidFill>
                    <a:schemeClr val="accent1">
                      <a:tint val="30000"/>
                    </a:schemeClr>
                  </a:solidFill>
                  <a:round/>
                </a:ln>
              </c15:spPr>
            </c:ext>
          </c:extLst>
        </c:dLbl>
      </c:pivotFmt>
      <c:pivotFmt>
        <c:idx val="3"/>
        <c:spPr>
          <a:solidFill>
            <a:schemeClr val="accent1">
              <a:shade val="65000"/>
              <a:alpha val="90000"/>
            </a:schemeClr>
          </a:solidFill>
          <a:ln w="19050">
            <a:solidFill>
              <a:schemeClr val="accent1">
                <a:shade val="65000"/>
                <a:lumMod val="75000"/>
              </a:schemeClr>
            </a:solidFill>
          </a:ln>
          <a:effectLst>
            <a:innerShdw blurRad="114300">
              <a:schemeClr val="accent1">
                <a:shade val="65000"/>
                <a:lumMod val="75000"/>
              </a:schemeClr>
            </a:innerShdw>
          </a:effectLst>
          <a:scene3d>
            <a:camera prst="orthographicFront"/>
            <a:lightRig rig="threePt" dir="t"/>
          </a:scene3d>
          <a:sp3d contourW="19050" prstMaterial="flat">
            <a:contourClr>
              <a:schemeClr val="accent1">
                <a:shade val="65000"/>
                <a:lumMod val="75000"/>
              </a:schemeClr>
            </a:contourClr>
          </a:sp3d>
        </c:spPr>
        <c:dLbl>
          <c:idx val="0"/>
          <c:spPr>
            <a:solidFill>
              <a:sysClr val="window" lastClr="FFFFFF">
                <a:alpha val="90000"/>
              </a:sysClr>
            </a:solidFill>
            <a:ln w="12700" cap="flat" cmpd="sng" algn="ctr">
              <a:solidFill>
                <a:srgbClr val="156082">
                  <a:shade val="65000"/>
                </a:srgbClr>
              </a:solidFill>
              <a:round/>
            </a:ln>
            <a:effectLst>
              <a:outerShdw blurRad="50800" dist="38100" dir="2700000" algn="tl" rotWithShape="0">
                <a:srgbClr val="156082">
                  <a:shade val="65000"/>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solidFill>
                  <a:schemeClr val="lt1">
                    <a:alpha val="90000"/>
                  </a:schemeClr>
                </a:solidFill>
                <a:ln w="12700" cap="flat" cmpd="sng" algn="ctr">
                  <a:solidFill>
                    <a:schemeClr val="accent1">
                      <a:tint val="30000"/>
                    </a:schemeClr>
                  </a:solidFill>
                  <a:round/>
                </a:ln>
              </c15:spPr>
            </c:ext>
          </c:extLst>
        </c:dLbl>
      </c:pivotFmt>
      <c:pivotFmt>
        <c:idx val="4"/>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dLbl>
          <c:idx val="0"/>
          <c:spPr>
            <a:solidFill>
              <a:sysClr val="window" lastClr="FFFFFF">
                <a:alpha val="90000"/>
              </a:sysClr>
            </a:solidFill>
            <a:ln w="12700" cap="flat" cmpd="sng" algn="ctr">
              <a:solidFill>
                <a:srgbClr val="156082">
                  <a:shade val="65000"/>
                </a:srgbClr>
              </a:solidFill>
              <a:round/>
            </a:ln>
            <a:effectLst>
              <a:outerShdw blurRad="50800" dist="38100" dir="2700000" algn="tl" rotWithShape="0">
                <a:srgbClr val="156082">
                  <a:shade val="65000"/>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solidFill>
                  <a:schemeClr val="lt1">
                    <a:alpha val="90000"/>
                  </a:schemeClr>
                </a:solidFill>
                <a:ln w="12700" cap="flat" cmpd="sng" algn="ctr">
                  <a:solidFill>
                    <a:schemeClr val="accent1">
                      <a:tint val="30000"/>
                    </a:schemeClr>
                  </a:solidFill>
                  <a:round/>
                </a:ln>
              </c15:spPr>
            </c:ext>
          </c:extLst>
        </c:dLbl>
      </c:pivotFmt>
      <c:pivotFmt>
        <c:idx val="5"/>
        <c:spPr>
          <a:solidFill>
            <a:schemeClr val="accent1">
              <a:tint val="65000"/>
              <a:alpha val="90000"/>
            </a:schemeClr>
          </a:solidFill>
          <a:ln w="19050">
            <a:solidFill>
              <a:schemeClr val="accent1">
                <a:tint val="65000"/>
                <a:lumMod val="75000"/>
              </a:schemeClr>
            </a:solidFill>
          </a:ln>
          <a:effectLst>
            <a:innerShdw blurRad="114300">
              <a:schemeClr val="accent1">
                <a:tint val="65000"/>
                <a:lumMod val="75000"/>
              </a:schemeClr>
            </a:innerShdw>
          </a:effectLst>
          <a:scene3d>
            <a:camera prst="orthographicFront"/>
            <a:lightRig rig="threePt" dir="t"/>
          </a:scene3d>
          <a:sp3d contourW="19050" prstMaterial="flat">
            <a:contourClr>
              <a:schemeClr val="accent1">
                <a:tint val="65000"/>
                <a:lumMod val="75000"/>
              </a:schemeClr>
            </a:contourClr>
          </a:sp3d>
        </c:spPr>
        <c:dLbl>
          <c:idx val="0"/>
          <c:spPr>
            <a:solidFill>
              <a:sysClr val="window" lastClr="FFFFFF">
                <a:alpha val="90000"/>
              </a:sysClr>
            </a:solidFill>
            <a:ln w="12700" cap="flat" cmpd="sng" algn="ctr">
              <a:solidFill>
                <a:srgbClr val="156082">
                  <a:shade val="65000"/>
                </a:srgbClr>
              </a:solidFill>
              <a:round/>
            </a:ln>
            <a:effectLst>
              <a:outerShdw blurRad="50800" dist="38100" dir="2700000" algn="tl" rotWithShape="0">
                <a:srgbClr val="156082">
                  <a:shade val="65000"/>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solidFill>
                  <a:schemeClr val="lt1">
                    <a:alpha val="90000"/>
                  </a:schemeClr>
                </a:solidFill>
                <a:ln w="12700" cap="flat" cmpd="sng" algn="ctr">
                  <a:solidFill>
                    <a:schemeClr val="accent1">
                      <a:tint val="30000"/>
                    </a:schemeClr>
                  </a:solidFill>
                  <a:round/>
                </a:ln>
              </c15:spPr>
            </c:ext>
          </c:extLst>
        </c:dLbl>
      </c:pivotFmt>
      <c:pivotFmt>
        <c:idx val="6"/>
        <c:spPr>
          <a:solidFill>
            <a:schemeClr val="accent1">
              <a:shade val="65000"/>
              <a:alpha val="90000"/>
            </a:schemeClr>
          </a:solidFill>
          <a:ln w="19050">
            <a:solidFill>
              <a:schemeClr val="accent1">
                <a:shade val="65000"/>
                <a:lumMod val="75000"/>
              </a:schemeClr>
            </a:solidFill>
          </a:ln>
          <a:effectLst>
            <a:innerShdw blurRad="114300">
              <a:schemeClr val="accent1">
                <a:shade val="65000"/>
                <a:lumMod val="75000"/>
              </a:schemeClr>
            </a:innerShdw>
          </a:effectLst>
          <a:scene3d>
            <a:camera prst="orthographicFront"/>
            <a:lightRig rig="threePt" dir="t"/>
          </a:scene3d>
          <a:sp3d contourW="19050" prstMaterial="flat">
            <a:contourClr>
              <a:schemeClr val="accent1">
                <a:shade val="65000"/>
                <a:lumMod val="75000"/>
              </a:schemeClr>
            </a:contourClr>
          </a:sp3d>
        </c:spPr>
        <c:dLbl>
          <c:idx val="0"/>
          <c:spPr>
            <a:solidFill>
              <a:sysClr val="window" lastClr="FFFFFF">
                <a:alpha val="90000"/>
              </a:sysClr>
            </a:solidFill>
            <a:ln w="12700" cap="flat" cmpd="sng" algn="ctr">
              <a:solidFill>
                <a:srgbClr val="156082"/>
              </a:solidFill>
              <a:round/>
            </a:ln>
            <a:effectLst>
              <a:outerShdw blurRad="50800" dist="38100" dir="2700000" algn="tl" rotWithShape="0">
                <a:srgbClr val="156082">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solidFill>
                  <a:schemeClr val="lt1">
                    <a:alpha val="90000"/>
                  </a:schemeClr>
                </a:solidFill>
                <a:ln w="12700" cap="flat" cmpd="sng" algn="ctr">
                  <a:solidFill>
                    <a:schemeClr val="accent1">
                      <a:tint val="30000"/>
                    </a:schemeClr>
                  </a:solidFill>
                  <a:round/>
                </a:ln>
              </c15:spPr>
            </c:ext>
          </c:extLst>
        </c:dLbl>
      </c:pivotFmt>
      <c:pivotFmt>
        <c:idx val="7"/>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dLbl>
          <c:idx val="0"/>
          <c:spPr>
            <a:solidFill>
              <a:sysClr val="window" lastClr="FFFFFF">
                <a:alpha val="90000"/>
              </a:sysClr>
            </a:solidFill>
            <a:ln w="12700" cap="flat" cmpd="sng" algn="ctr">
              <a:solidFill>
                <a:srgbClr val="156082"/>
              </a:solidFill>
              <a:round/>
            </a:ln>
            <a:effectLst>
              <a:outerShdw blurRad="50800" dist="38100" dir="2700000" algn="tl" rotWithShape="0">
                <a:srgbClr val="156082">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solidFill>
                  <a:schemeClr val="lt1">
                    <a:alpha val="90000"/>
                  </a:schemeClr>
                </a:solidFill>
                <a:ln w="12700" cap="flat" cmpd="sng" algn="ctr">
                  <a:solidFill>
                    <a:schemeClr val="accent1">
                      <a:tint val="30000"/>
                    </a:schemeClr>
                  </a:solidFill>
                  <a:round/>
                </a:ln>
              </c15:spPr>
            </c:ext>
          </c:extLst>
        </c:dLbl>
      </c:pivotFmt>
      <c:pivotFmt>
        <c:idx val="8"/>
        <c:spPr>
          <a:solidFill>
            <a:schemeClr val="accent1">
              <a:tint val="65000"/>
              <a:alpha val="90000"/>
            </a:schemeClr>
          </a:solidFill>
          <a:ln w="19050">
            <a:solidFill>
              <a:schemeClr val="accent1">
                <a:tint val="65000"/>
                <a:lumMod val="75000"/>
              </a:schemeClr>
            </a:solidFill>
          </a:ln>
          <a:effectLst>
            <a:innerShdw blurRad="114300">
              <a:schemeClr val="accent1">
                <a:tint val="65000"/>
                <a:lumMod val="75000"/>
              </a:schemeClr>
            </a:innerShdw>
          </a:effectLst>
          <a:scene3d>
            <a:camera prst="orthographicFront"/>
            <a:lightRig rig="threePt" dir="t"/>
          </a:scene3d>
          <a:sp3d contourW="19050" prstMaterial="flat">
            <a:contourClr>
              <a:schemeClr val="accent1">
                <a:tint val="65000"/>
                <a:lumMod val="75000"/>
              </a:schemeClr>
            </a:contourClr>
          </a:sp3d>
        </c:spPr>
        <c:dLbl>
          <c:idx val="0"/>
          <c:spPr>
            <a:solidFill>
              <a:sysClr val="window" lastClr="FFFFFF">
                <a:alpha val="90000"/>
              </a:sysClr>
            </a:solidFill>
            <a:ln w="12700" cap="flat" cmpd="sng" algn="ctr">
              <a:solidFill>
                <a:srgbClr val="156082"/>
              </a:solidFill>
              <a:round/>
            </a:ln>
            <a:effectLst>
              <a:outerShdw blurRad="50800" dist="38100" dir="2700000" algn="tl" rotWithShape="0">
                <a:srgbClr val="156082">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solidFill>
                  <a:schemeClr val="lt1">
                    <a:alpha val="90000"/>
                  </a:schemeClr>
                </a:solidFill>
                <a:ln w="12700" cap="flat" cmpd="sng" algn="ctr">
                  <a:solidFill>
                    <a:schemeClr val="accent1">
                      <a:tint val="30000"/>
                    </a:schemeClr>
                  </a:solidFill>
                  <a:round/>
                </a:ln>
              </c15:spPr>
            </c:ext>
          </c:extLst>
        </c:dLbl>
      </c:pivotFmt>
      <c:pivotFmt>
        <c:idx val="9"/>
        <c:spPr>
          <a:solidFill>
            <a:schemeClr val="accent1">
              <a:shade val="65000"/>
              <a:alpha val="90000"/>
            </a:schemeClr>
          </a:solidFill>
          <a:ln w="19050">
            <a:solidFill>
              <a:schemeClr val="accent1">
                <a:shade val="65000"/>
                <a:lumMod val="75000"/>
              </a:schemeClr>
            </a:solidFill>
          </a:ln>
          <a:effectLst>
            <a:innerShdw blurRad="114300">
              <a:schemeClr val="accent1">
                <a:shade val="65000"/>
                <a:lumMod val="75000"/>
              </a:schemeClr>
            </a:innerShdw>
          </a:effectLst>
          <a:scene3d>
            <a:camera prst="orthographicFront"/>
            <a:lightRig rig="threePt" dir="t"/>
          </a:scene3d>
          <a:sp3d contourW="19050" prstMaterial="flat">
            <a:contourClr>
              <a:schemeClr val="accent1">
                <a:shade val="65000"/>
                <a:lumMod val="75000"/>
              </a:schemeClr>
            </a:contourClr>
          </a:sp3d>
        </c:spPr>
        <c:dLbl>
          <c:idx val="0"/>
          <c:spPr>
            <a:solidFill>
              <a:sysClr val="window" lastClr="FFFFFF">
                <a:alpha val="90000"/>
              </a:sysClr>
            </a:solidFill>
            <a:ln w="12700" cap="flat" cmpd="sng" algn="ctr">
              <a:solidFill>
                <a:srgbClr val="156082">
                  <a:tint val="65000"/>
                </a:srgbClr>
              </a:solidFill>
              <a:round/>
            </a:ln>
            <a:effectLst>
              <a:outerShdw blurRad="50800" dist="38100" dir="2700000" algn="tl" rotWithShape="0">
                <a:srgbClr val="156082">
                  <a:tint val="65000"/>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solidFill>
                  <a:schemeClr val="lt1">
                    <a:alpha val="90000"/>
                  </a:schemeClr>
                </a:solidFill>
                <a:ln w="12700" cap="flat" cmpd="sng" algn="ctr">
                  <a:solidFill>
                    <a:schemeClr val="accent1">
                      <a:tint val="30000"/>
                    </a:schemeClr>
                  </a:solidFill>
                  <a:round/>
                </a:ln>
              </c15:spPr>
            </c:ext>
          </c:extLst>
        </c:dLbl>
      </c:pivotFmt>
      <c:pivotFmt>
        <c:idx val="10"/>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dLbl>
          <c:idx val="0"/>
          <c:spPr>
            <a:solidFill>
              <a:sysClr val="window" lastClr="FFFFFF">
                <a:alpha val="90000"/>
              </a:sysClr>
            </a:solidFill>
            <a:ln w="12700" cap="flat" cmpd="sng" algn="ctr">
              <a:solidFill>
                <a:srgbClr val="156082">
                  <a:tint val="65000"/>
                </a:srgbClr>
              </a:solidFill>
              <a:round/>
            </a:ln>
            <a:effectLst>
              <a:outerShdw blurRad="50800" dist="38100" dir="2700000" algn="tl" rotWithShape="0">
                <a:srgbClr val="156082">
                  <a:tint val="65000"/>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solidFill>
                  <a:schemeClr val="lt1">
                    <a:alpha val="90000"/>
                  </a:schemeClr>
                </a:solidFill>
                <a:ln w="12700" cap="flat" cmpd="sng" algn="ctr">
                  <a:solidFill>
                    <a:schemeClr val="accent1">
                      <a:tint val="30000"/>
                    </a:schemeClr>
                  </a:solidFill>
                  <a:round/>
                </a:ln>
              </c15:spPr>
            </c:ext>
          </c:extLst>
        </c:dLbl>
      </c:pivotFmt>
      <c:pivotFmt>
        <c:idx val="11"/>
        <c:spPr>
          <a:solidFill>
            <a:schemeClr val="accent1">
              <a:tint val="65000"/>
              <a:alpha val="90000"/>
            </a:schemeClr>
          </a:solidFill>
          <a:ln w="19050">
            <a:solidFill>
              <a:schemeClr val="accent1">
                <a:tint val="65000"/>
                <a:lumMod val="75000"/>
              </a:schemeClr>
            </a:solidFill>
          </a:ln>
          <a:effectLst>
            <a:innerShdw blurRad="114300">
              <a:schemeClr val="accent1">
                <a:tint val="65000"/>
                <a:lumMod val="75000"/>
              </a:schemeClr>
            </a:innerShdw>
          </a:effectLst>
          <a:scene3d>
            <a:camera prst="orthographicFront"/>
            <a:lightRig rig="threePt" dir="t"/>
          </a:scene3d>
          <a:sp3d contourW="19050" prstMaterial="flat">
            <a:contourClr>
              <a:schemeClr val="accent1">
                <a:tint val="65000"/>
                <a:lumMod val="75000"/>
              </a:schemeClr>
            </a:contourClr>
          </a:sp3d>
        </c:spPr>
        <c:dLbl>
          <c:idx val="0"/>
          <c:spPr>
            <a:solidFill>
              <a:sysClr val="window" lastClr="FFFFFF">
                <a:alpha val="90000"/>
              </a:sysClr>
            </a:solidFill>
            <a:ln w="12700" cap="flat" cmpd="sng" algn="ctr">
              <a:solidFill>
                <a:srgbClr val="156082">
                  <a:tint val="65000"/>
                </a:srgbClr>
              </a:solidFill>
              <a:round/>
            </a:ln>
            <a:effectLst>
              <a:outerShdw blurRad="50800" dist="38100" dir="2700000" algn="tl" rotWithShape="0">
                <a:srgbClr val="156082">
                  <a:tint val="65000"/>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solidFill>
                  <a:schemeClr val="lt1">
                    <a:alpha val="90000"/>
                  </a:schemeClr>
                </a:solidFill>
                <a:ln w="12700" cap="flat" cmpd="sng" algn="ctr">
                  <a:solidFill>
                    <a:schemeClr val="accent1">
                      <a:tint val="30000"/>
                    </a:schemeClr>
                  </a:solidFill>
                  <a:round/>
                </a:ln>
              </c15:spPr>
            </c:ext>
          </c:extLst>
        </c:dLbl>
      </c:pivotFmt>
      <c:pivotFmt>
        <c:idx val="12"/>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marker>
          <c:symbol val="none"/>
        </c:marker>
        <c:dLbl>
          <c:idx val="0"/>
          <c:spPr>
            <a:solidFill>
              <a:sysClr val="window" lastClr="FFFFFF">
                <a:alpha val="90000"/>
              </a:sysClr>
            </a:solidFill>
            <a:ln w="12700" cap="flat" cmpd="sng" algn="ctr">
              <a:solidFill>
                <a:srgbClr val="156082">
                  <a:shade val="65000"/>
                </a:srgbClr>
              </a:solidFill>
              <a:round/>
            </a:ln>
            <a:effectLst>
              <a:outerShdw blurRad="50800" dist="38100" dir="2700000" algn="tl" rotWithShape="0">
                <a:srgbClr val="156082">
                  <a:shade val="65000"/>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hade val="65000"/>
                    </a:schemeClr>
                  </a:solidFill>
                  <a:effectLst/>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solidFill>
                  <a:schemeClr val="lt1">
                    <a:alpha val="90000"/>
                  </a:schemeClr>
                </a:solidFill>
                <a:ln w="12700" cap="flat" cmpd="sng" algn="ctr">
                  <a:solidFill>
                    <a:schemeClr val="accent1">
                      <a:tint val="30000"/>
                    </a:schemeClr>
                  </a:solidFill>
                  <a:round/>
                </a:ln>
              </c15:spPr>
            </c:ext>
          </c:extLst>
        </c:dLbl>
      </c:pivotFmt>
      <c:pivotFmt>
        <c:idx val="13"/>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dLbl>
          <c:idx val="0"/>
          <c:spPr>
            <a:solidFill>
              <a:sysClr val="window" lastClr="FFFFFF">
                <a:alpha val="90000"/>
              </a:sysClr>
            </a:solidFill>
            <a:ln w="12700" cap="flat" cmpd="sng" algn="ctr">
              <a:solidFill>
                <a:srgbClr val="156082">
                  <a:shade val="65000"/>
                </a:srgbClr>
              </a:solidFill>
              <a:round/>
            </a:ln>
            <a:effectLst>
              <a:outerShdw blurRad="50800" dist="38100" dir="2700000" algn="tl" rotWithShape="0">
                <a:srgbClr val="156082">
                  <a:shade val="65000"/>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hade val="65000"/>
                    </a:schemeClr>
                  </a:solidFill>
                  <a:effectLst/>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solidFill>
                  <a:schemeClr val="lt1">
                    <a:alpha val="90000"/>
                  </a:schemeClr>
                </a:solidFill>
                <a:ln w="12700" cap="flat" cmpd="sng" algn="ctr">
                  <a:solidFill>
                    <a:schemeClr val="accent1">
                      <a:tint val="30000"/>
                    </a:schemeClr>
                  </a:solidFill>
                  <a:round/>
                </a:ln>
              </c15:spPr>
              <c15:xForSave val="1"/>
            </c:ext>
          </c:extLst>
        </c:dLbl>
      </c:pivotFmt>
      <c:pivotFmt>
        <c:idx val="14"/>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dLbl>
          <c:idx val="0"/>
          <c:spPr>
            <a:solidFill>
              <a:sysClr val="window" lastClr="FFFFFF">
                <a:alpha val="90000"/>
              </a:sysClr>
            </a:solidFill>
            <a:ln w="12700" cap="flat" cmpd="sng" algn="ctr">
              <a:solidFill>
                <a:srgbClr val="156082">
                  <a:shade val="65000"/>
                </a:srgbClr>
              </a:solidFill>
              <a:round/>
            </a:ln>
            <a:effectLst>
              <a:outerShdw blurRad="50800" dist="38100" dir="2700000" algn="tl" rotWithShape="0">
                <a:srgbClr val="156082">
                  <a:shade val="65000"/>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hade val="65000"/>
                    </a:schemeClr>
                  </a:solidFill>
                  <a:effectLst/>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solidFill>
                  <a:schemeClr val="lt1">
                    <a:alpha val="90000"/>
                  </a:schemeClr>
                </a:solidFill>
                <a:ln w="12700" cap="flat" cmpd="sng" algn="ctr">
                  <a:solidFill>
                    <a:schemeClr val="accent1">
                      <a:tint val="30000"/>
                    </a:schemeClr>
                  </a:solidFill>
                  <a:round/>
                </a:ln>
              </c15:spPr>
              <c15:xForSave val="1"/>
            </c:ext>
          </c:extLst>
        </c:dLbl>
      </c:pivotFmt>
      <c:pivotFmt>
        <c:idx val="15"/>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dLbl>
          <c:idx val="0"/>
          <c:spPr>
            <a:solidFill>
              <a:sysClr val="window" lastClr="FFFFFF">
                <a:alpha val="90000"/>
              </a:sysClr>
            </a:solidFill>
            <a:ln w="12700" cap="flat" cmpd="sng" algn="ctr">
              <a:solidFill>
                <a:srgbClr val="156082">
                  <a:shade val="65000"/>
                </a:srgbClr>
              </a:solidFill>
              <a:round/>
            </a:ln>
            <a:effectLst>
              <a:outerShdw blurRad="50800" dist="38100" dir="2700000" algn="tl" rotWithShape="0">
                <a:srgbClr val="156082">
                  <a:shade val="65000"/>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hade val="65000"/>
                    </a:schemeClr>
                  </a:solidFill>
                  <a:effectLst/>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solidFill>
                  <a:schemeClr val="lt1">
                    <a:alpha val="90000"/>
                  </a:schemeClr>
                </a:solidFill>
                <a:ln w="12700" cap="flat" cmpd="sng" algn="ctr">
                  <a:solidFill>
                    <a:schemeClr val="accent1">
                      <a:tint val="30000"/>
                    </a:schemeClr>
                  </a:solidFill>
                  <a:round/>
                </a:ln>
              </c15:spPr>
              <c15:xForSave val="1"/>
            </c:ext>
          </c:extLst>
        </c:dLbl>
      </c:pivotFmt>
      <c:pivotFmt>
        <c:idx val="16"/>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marker>
          <c:symbol val="none"/>
        </c:marker>
        <c:dLbl>
          <c:idx val="0"/>
          <c:spPr>
            <a:solidFill>
              <a:sysClr val="window" lastClr="FFFFFF">
                <a:alpha val="90000"/>
              </a:sysClr>
            </a:solidFill>
            <a:ln w="12700" cap="flat" cmpd="sng" algn="ctr">
              <a:solidFill>
                <a:srgbClr val="156082"/>
              </a:solidFill>
              <a:round/>
            </a:ln>
            <a:effectLst>
              <a:outerShdw blurRad="50800" dist="38100" dir="2700000" algn="tl" rotWithShape="0">
                <a:srgbClr val="156082">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solidFill>
                  <a:schemeClr val="lt1">
                    <a:alpha val="90000"/>
                  </a:schemeClr>
                </a:solidFill>
                <a:ln w="12700" cap="flat" cmpd="sng" algn="ctr">
                  <a:solidFill>
                    <a:schemeClr val="accent1">
                      <a:tint val="30000"/>
                    </a:schemeClr>
                  </a:solidFill>
                  <a:round/>
                </a:ln>
              </c15:spPr>
            </c:ext>
          </c:extLst>
        </c:dLbl>
      </c:pivotFmt>
      <c:pivotFmt>
        <c:idx val="17"/>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dLbl>
          <c:idx val="0"/>
          <c:spPr>
            <a:solidFill>
              <a:sysClr val="window" lastClr="FFFFFF">
                <a:alpha val="90000"/>
              </a:sysClr>
            </a:solidFill>
            <a:ln w="12700" cap="flat" cmpd="sng" algn="ctr">
              <a:solidFill>
                <a:srgbClr val="156082"/>
              </a:solidFill>
              <a:round/>
            </a:ln>
            <a:effectLst>
              <a:outerShdw blurRad="50800" dist="38100" dir="2700000" algn="tl" rotWithShape="0">
                <a:srgbClr val="156082">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solidFill>
                  <a:schemeClr val="lt1">
                    <a:alpha val="90000"/>
                  </a:schemeClr>
                </a:solidFill>
                <a:ln w="12700" cap="flat" cmpd="sng" algn="ctr">
                  <a:solidFill>
                    <a:schemeClr val="accent1">
                      <a:tint val="30000"/>
                    </a:schemeClr>
                  </a:solidFill>
                  <a:round/>
                </a:ln>
              </c15:spPr>
              <c15:xForSave val="1"/>
            </c:ext>
          </c:extLst>
        </c:dLbl>
      </c:pivotFmt>
      <c:pivotFmt>
        <c:idx val="18"/>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dLbl>
          <c:idx val="0"/>
          <c:spPr>
            <a:solidFill>
              <a:sysClr val="window" lastClr="FFFFFF">
                <a:alpha val="90000"/>
              </a:sysClr>
            </a:solidFill>
            <a:ln w="12700" cap="flat" cmpd="sng" algn="ctr">
              <a:solidFill>
                <a:srgbClr val="156082"/>
              </a:solidFill>
              <a:round/>
            </a:ln>
            <a:effectLst>
              <a:outerShdw blurRad="50800" dist="38100" dir="2700000" algn="tl" rotWithShape="0">
                <a:srgbClr val="156082">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solidFill>
                  <a:schemeClr val="lt1">
                    <a:alpha val="90000"/>
                  </a:schemeClr>
                </a:solidFill>
                <a:ln w="12700" cap="flat" cmpd="sng" algn="ctr">
                  <a:solidFill>
                    <a:schemeClr val="accent1">
                      <a:tint val="30000"/>
                    </a:schemeClr>
                  </a:solidFill>
                  <a:round/>
                </a:ln>
              </c15:spPr>
              <c15:xForSave val="1"/>
            </c:ext>
          </c:extLst>
        </c:dLbl>
      </c:pivotFmt>
      <c:pivotFmt>
        <c:idx val="19"/>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dLbl>
          <c:idx val="0"/>
          <c:spPr>
            <a:solidFill>
              <a:sysClr val="window" lastClr="FFFFFF">
                <a:alpha val="90000"/>
              </a:sysClr>
            </a:solidFill>
            <a:ln w="12700" cap="flat" cmpd="sng" algn="ctr">
              <a:solidFill>
                <a:srgbClr val="156082"/>
              </a:solidFill>
              <a:round/>
            </a:ln>
            <a:effectLst>
              <a:outerShdw blurRad="50800" dist="38100" dir="2700000" algn="tl" rotWithShape="0">
                <a:srgbClr val="156082">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solidFill>
                  <a:schemeClr val="lt1">
                    <a:alpha val="90000"/>
                  </a:schemeClr>
                </a:solidFill>
                <a:ln w="12700" cap="flat" cmpd="sng" algn="ctr">
                  <a:solidFill>
                    <a:schemeClr val="accent1">
                      <a:tint val="30000"/>
                    </a:schemeClr>
                  </a:solidFill>
                  <a:round/>
                </a:ln>
              </c15:spPr>
              <c15:xForSave val="1"/>
            </c:ext>
          </c:extLst>
        </c:dLbl>
      </c:pivotFmt>
      <c:pivotFmt>
        <c:idx val="20"/>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marker>
          <c:symbol val="none"/>
        </c:marker>
        <c:dLbl>
          <c:idx val="0"/>
          <c:spPr>
            <a:solidFill>
              <a:sysClr val="window" lastClr="FFFFFF">
                <a:alpha val="90000"/>
              </a:sysClr>
            </a:solidFill>
            <a:ln w="12700" cap="flat" cmpd="sng" algn="ctr">
              <a:solidFill>
                <a:srgbClr val="156082">
                  <a:tint val="65000"/>
                </a:srgbClr>
              </a:solidFill>
              <a:round/>
            </a:ln>
            <a:effectLst>
              <a:outerShdw blurRad="50800" dist="38100" dir="2700000" algn="tl" rotWithShape="0">
                <a:srgbClr val="156082">
                  <a:tint val="65000"/>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tint val="65000"/>
                    </a:schemeClr>
                  </a:solidFill>
                  <a:effectLst/>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solidFill>
                  <a:schemeClr val="lt1">
                    <a:alpha val="90000"/>
                  </a:schemeClr>
                </a:solidFill>
                <a:ln w="12700" cap="flat" cmpd="sng" algn="ctr">
                  <a:solidFill>
                    <a:schemeClr val="accent1">
                      <a:tint val="30000"/>
                    </a:schemeClr>
                  </a:solidFill>
                  <a:round/>
                </a:ln>
              </c15:spPr>
            </c:ext>
          </c:extLst>
        </c:dLbl>
      </c:pivotFmt>
      <c:pivotFmt>
        <c:idx val="21"/>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dLbl>
          <c:idx val="0"/>
          <c:spPr>
            <a:solidFill>
              <a:sysClr val="window" lastClr="FFFFFF">
                <a:alpha val="90000"/>
              </a:sysClr>
            </a:solidFill>
            <a:ln w="12700" cap="flat" cmpd="sng" algn="ctr">
              <a:solidFill>
                <a:srgbClr val="156082">
                  <a:tint val="65000"/>
                </a:srgbClr>
              </a:solidFill>
              <a:round/>
            </a:ln>
            <a:effectLst>
              <a:outerShdw blurRad="50800" dist="38100" dir="2700000" algn="tl" rotWithShape="0">
                <a:srgbClr val="156082">
                  <a:tint val="65000"/>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tint val="65000"/>
                    </a:schemeClr>
                  </a:solidFill>
                  <a:effectLst/>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solidFill>
                  <a:schemeClr val="lt1">
                    <a:alpha val="90000"/>
                  </a:schemeClr>
                </a:solidFill>
                <a:ln w="12700" cap="flat" cmpd="sng" algn="ctr">
                  <a:solidFill>
                    <a:schemeClr val="accent1">
                      <a:tint val="30000"/>
                    </a:schemeClr>
                  </a:solidFill>
                  <a:round/>
                </a:ln>
              </c15:spPr>
              <c15:xForSave val="1"/>
            </c:ext>
          </c:extLst>
        </c:dLbl>
      </c:pivotFmt>
      <c:pivotFmt>
        <c:idx val="22"/>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dLbl>
          <c:idx val="0"/>
          <c:spPr>
            <a:solidFill>
              <a:sysClr val="window" lastClr="FFFFFF">
                <a:alpha val="90000"/>
              </a:sysClr>
            </a:solidFill>
            <a:ln w="12700" cap="flat" cmpd="sng" algn="ctr">
              <a:solidFill>
                <a:srgbClr val="156082">
                  <a:tint val="65000"/>
                </a:srgbClr>
              </a:solidFill>
              <a:round/>
            </a:ln>
            <a:effectLst>
              <a:outerShdw blurRad="50800" dist="38100" dir="2700000" algn="tl" rotWithShape="0">
                <a:srgbClr val="156082">
                  <a:tint val="65000"/>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tint val="65000"/>
                    </a:schemeClr>
                  </a:solidFill>
                  <a:effectLst/>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solidFill>
                  <a:schemeClr val="lt1">
                    <a:alpha val="90000"/>
                  </a:schemeClr>
                </a:solidFill>
                <a:ln w="12700" cap="flat" cmpd="sng" algn="ctr">
                  <a:solidFill>
                    <a:schemeClr val="accent1">
                      <a:tint val="30000"/>
                    </a:schemeClr>
                  </a:solidFill>
                  <a:round/>
                </a:ln>
              </c15:spPr>
              <c15:xForSave val="1"/>
            </c:ext>
          </c:extLst>
        </c:dLbl>
      </c:pivotFmt>
      <c:pivotFmt>
        <c:idx val="23"/>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dLbl>
          <c:idx val="0"/>
          <c:spPr>
            <a:solidFill>
              <a:sysClr val="window" lastClr="FFFFFF">
                <a:alpha val="90000"/>
              </a:sysClr>
            </a:solidFill>
            <a:ln w="12700" cap="flat" cmpd="sng" algn="ctr">
              <a:solidFill>
                <a:srgbClr val="156082">
                  <a:tint val="65000"/>
                </a:srgbClr>
              </a:solidFill>
              <a:round/>
            </a:ln>
            <a:effectLst>
              <a:outerShdw blurRad="50800" dist="38100" dir="2700000" algn="tl" rotWithShape="0">
                <a:srgbClr val="156082">
                  <a:tint val="65000"/>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tint val="65000"/>
                    </a:schemeClr>
                  </a:solidFill>
                  <a:effectLst/>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solidFill>
                  <a:schemeClr val="lt1">
                    <a:alpha val="90000"/>
                  </a:schemeClr>
                </a:solidFill>
                <a:ln w="12700" cap="flat" cmpd="sng" algn="ctr">
                  <a:solidFill>
                    <a:schemeClr val="accent1">
                      <a:tint val="30000"/>
                    </a:schemeClr>
                  </a:solidFill>
                  <a:round/>
                </a:ln>
              </c15:spPr>
              <c15:xForSave val="1"/>
            </c:ext>
          </c:extLst>
        </c:dLbl>
      </c:pivotFmt>
      <c:pivotFmt>
        <c:idx val="24"/>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marker>
          <c:symbol val="none"/>
        </c:marker>
        <c:dLbl>
          <c:idx val="0"/>
          <c:spPr>
            <a:solidFill>
              <a:sysClr val="window" lastClr="FFFFFF">
                <a:alpha val="90000"/>
              </a:sysClr>
            </a:solidFill>
            <a:ln w="12700" cap="flat" cmpd="sng" algn="ctr">
              <a:solidFill>
                <a:srgbClr val="156082">
                  <a:shade val="65000"/>
                </a:srgbClr>
              </a:solidFill>
              <a:round/>
            </a:ln>
            <a:effectLst>
              <a:outerShdw blurRad="50800" dist="38100" dir="2700000" algn="tl" rotWithShape="0">
                <a:srgbClr val="156082">
                  <a:shade val="65000"/>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hade val="65000"/>
                    </a:schemeClr>
                  </a:solidFill>
                  <a:effectLst/>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solidFill>
                  <a:schemeClr val="lt1">
                    <a:alpha val="90000"/>
                  </a:schemeClr>
                </a:solidFill>
                <a:ln w="12700" cap="flat" cmpd="sng" algn="ctr">
                  <a:solidFill>
                    <a:schemeClr val="accent1">
                      <a:tint val="30000"/>
                    </a:schemeClr>
                  </a:solidFill>
                  <a:round/>
                </a:ln>
              </c15:spPr>
            </c:ext>
          </c:extLst>
        </c:dLbl>
      </c:pivotFmt>
      <c:pivotFmt>
        <c:idx val="25"/>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dLbl>
          <c:idx val="0"/>
          <c:spPr>
            <a:solidFill>
              <a:sysClr val="window" lastClr="FFFFFF">
                <a:alpha val="90000"/>
              </a:sysClr>
            </a:solidFill>
            <a:ln w="12700" cap="flat" cmpd="sng" algn="ctr">
              <a:solidFill>
                <a:srgbClr val="156082">
                  <a:shade val="65000"/>
                </a:srgbClr>
              </a:solidFill>
              <a:round/>
            </a:ln>
            <a:effectLst>
              <a:outerShdw blurRad="50800" dist="38100" dir="2700000" algn="tl" rotWithShape="0">
                <a:srgbClr val="156082">
                  <a:shade val="65000"/>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hade val="65000"/>
                    </a:schemeClr>
                  </a:solidFill>
                  <a:effectLst/>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solidFill>
                  <a:schemeClr val="lt1">
                    <a:alpha val="90000"/>
                  </a:schemeClr>
                </a:solidFill>
                <a:ln w="12700" cap="flat" cmpd="sng" algn="ctr">
                  <a:solidFill>
                    <a:schemeClr val="accent1">
                      <a:tint val="30000"/>
                    </a:schemeClr>
                  </a:solidFill>
                  <a:round/>
                </a:ln>
              </c15:spPr>
            </c:ext>
          </c:extLst>
        </c:dLbl>
      </c:pivotFmt>
      <c:pivotFmt>
        <c:idx val="26"/>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dLbl>
          <c:idx val="0"/>
          <c:spPr>
            <a:solidFill>
              <a:sysClr val="window" lastClr="FFFFFF">
                <a:alpha val="90000"/>
              </a:sysClr>
            </a:solidFill>
            <a:ln w="12700" cap="flat" cmpd="sng" algn="ctr">
              <a:solidFill>
                <a:srgbClr val="156082">
                  <a:shade val="65000"/>
                </a:srgbClr>
              </a:solidFill>
              <a:round/>
            </a:ln>
            <a:effectLst>
              <a:outerShdw blurRad="50800" dist="38100" dir="2700000" algn="tl" rotWithShape="0">
                <a:srgbClr val="156082">
                  <a:shade val="65000"/>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hade val="65000"/>
                    </a:schemeClr>
                  </a:solidFill>
                  <a:effectLst/>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solidFill>
                  <a:schemeClr val="lt1">
                    <a:alpha val="90000"/>
                  </a:schemeClr>
                </a:solidFill>
                <a:ln w="12700" cap="flat" cmpd="sng" algn="ctr">
                  <a:solidFill>
                    <a:schemeClr val="accent1">
                      <a:tint val="30000"/>
                    </a:schemeClr>
                  </a:solidFill>
                  <a:round/>
                </a:ln>
              </c15:spPr>
            </c:ext>
          </c:extLst>
        </c:dLbl>
      </c:pivotFmt>
      <c:pivotFmt>
        <c:idx val="27"/>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dLbl>
          <c:idx val="0"/>
          <c:spPr>
            <a:solidFill>
              <a:sysClr val="window" lastClr="FFFFFF">
                <a:alpha val="90000"/>
              </a:sysClr>
            </a:solidFill>
            <a:ln w="12700" cap="flat" cmpd="sng" algn="ctr">
              <a:solidFill>
                <a:srgbClr val="156082">
                  <a:shade val="65000"/>
                </a:srgbClr>
              </a:solidFill>
              <a:round/>
            </a:ln>
            <a:effectLst>
              <a:outerShdw blurRad="50800" dist="38100" dir="2700000" algn="tl" rotWithShape="0">
                <a:srgbClr val="156082">
                  <a:shade val="65000"/>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hade val="65000"/>
                    </a:schemeClr>
                  </a:solidFill>
                  <a:effectLst/>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solidFill>
                  <a:schemeClr val="lt1">
                    <a:alpha val="90000"/>
                  </a:schemeClr>
                </a:solidFill>
                <a:ln w="12700" cap="flat" cmpd="sng" algn="ctr">
                  <a:solidFill>
                    <a:schemeClr val="accent1">
                      <a:tint val="30000"/>
                    </a:schemeClr>
                  </a:solidFill>
                  <a:round/>
                </a:ln>
              </c15:spPr>
            </c:ext>
          </c:extLst>
        </c:dLbl>
      </c:pivotFmt>
      <c:pivotFmt>
        <c:idx val="28"/>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marker>
          <c:symbol val="none"/>
        </c:marker>
        <c:dLbl>
          <c:idx val="0"/>
          <c:spPr>
            <a:solidFill>
              <a:sysClr val="window" lastClr="FFFFFF">
                <a:alpha val="90000"/>
              </a:sysClr>
            </a:solidFill>
            <a:ln w="12700" cap="flat" cmpd="sng" algn="ctr">
              <a:solidFill>
                <a:srgbClr val="156082"/>
              </a:solidFill>
              <a:round/>
            </a:ln>
            <a:effectLst>
              <a:outerShdw blurRad="50800" dist="38100" dir="2700000" algn="tl" rotWithShape="0">
                <a:srgbClr val="156082">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solidFill>
                  <a:schemeClr val="lt1">
                    <a:alpha val="90000"/>
                  </a:schemeClr>
                </a:solidFill>
                <a:ln w="12700" cap="flat" cmpd="sng" algn="ctr">
                  <a:solidFill>
                    <a:schemeClr val="accent1">
                      <a:tint val="30000"/>
                    </a:schemeClr>
                  </a:solidFill>
                  <a:round/>
                </a:ln>
              </c15:spPr>
            </c:ext>
          </c:extLst>
        </c:dLbl>
      </c:pivotFmt>
      <c:pivotFmt>
        <c:idx val="29"/>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dLbl>
          <c:idx val="0"/>
          <c:spPr>
            <a:solidFill>
              <a:sysClr val="window" lastClr="FFFFFF">
                <a:alpha val="90000"/>
              </a:sysClr>
            </a:solidFill>
            <a:ln w="12700" cap="flat" cmpd="sng" algn="ctr">
              <a:solidFill>
                <a:srgbClr val="156082"/>
              </a:solidFill>
              <a:round/>
            </a:ln>
            <a:effectLst>
              <a:outerShdw blurRad="50800" dist="38100" dir="2700000" algn="tl" rotWithShape="0">
                <a:srgbClr val="156082">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solidFill>
                  <a:schemeClr val="lt1">
                    <a:alpha val="90000"/>
                  </a:schemeClr>
                </a:solidFill>
                <a:ln w="12700" cap="flat" cmpd="sng" algn="ctr">
                  <a:solidFill>
                    <a:schemeClr val="accent1">
                      <a:tint val="30000"/>
                    </a:schemeClr>
                  </a:solidFill>
                  <a:round/>
                </a:ln>
              </c15:spPr>
            </c:ext>
          </c:extLst>
        </c:dLbl>
      </c:pivotFmt>
      <c:pivotFmt>
        <c:idx val="30"/>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dLbl>
          <c:idx val="0"/>
          <c:spPr>
            <a:solidFill>
              <a:sysClr val="window" lastClr="FFFFFF">
                <a:alpha val="90000"/>
              </a:sysClr>
            </a:solidFill>
            <a:ln w="12700" cap="flat" cmpd="sng" algn="ctr">
              <a:solidFill>
                <a:srgbClr val="156082"/>
              </a:solidFill>
              <a:round/>
            </a:ln>
            <a:effectLst>
              <a:outerShdw blurRad="50800" dist="38100" dir="2700000" algn="tl" rotWithShape="0">
                <a:srgbClr val="156082">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solidFill>
                  <a:schemeClr val="lt1">
                    <a:alpha val="90000"/>
                  </a:schemeClr>
                </a:solidFill>
                <a:ln w="12700" cap="flat" cmpd="sng" algn="ctr">
                  <a:solidFill>
                    <a:schemeClr val="accent1">
                      <a:tint val="30000"/>
                    </a:schemeClr>
                  </a:solidFill>
                  <a:round/>
                </a:ln>
              </c15:spPr>
            </c:ext>
          </c:extLst>
        </c:dLbl>
      </c:pivotFmt>
      <c:pivotFmt>
        <c:idx val="31"/>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dLbl>
          <c:idx val="0"/>
          <c:spPr>
            <a:solidFill>
              <a:sysClr val="window" lastClr="FFFFFF">
                <a:alpha val="90000"/>
              </a:sysClr>
            </a:solidFill>
            <a:ln w="12700" cap="flat" cmpd="sng" algn="ctr">
              <a:solidFill>
                <a:srgbClr val="156082"/>
              </a:solidFill>
              <a:round/>
            </a:ln>
            <a:effectLst>
              <a:outerShdw blurRad="50800" dist="38100" dir="2700000" algn="tl" rotWithShape="0">
                <a:srgbClr val="156082">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solidFill>
                  <a:schemeClr val="lt1">
                    <a:alpha val="90000"/>
                  </a:schemeClr>
                </a:solidFill>
                <a:ln w="12700" cap="flat" cmpd="sng" algn="ctr">
                  <a:solidFill>
                    <a:schemeClr val="accent1">
                      <a:tint val="30000"/>
                    </a:schemeClr>
                  </a:solidFill>
                  <a:round/>
                </a:ln>
              </c15:spPr>
            </c:ext>
          </c:extLst>
        </c:dLbl>
      </c:pivotFmt>
      <c:pivotFmt>
        <c:idx val="32"/>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marker>
          <c:symbol val="none"/>
        </c:marker>
        <c:dLbl>
          <c:idx val="0"/>
          <c:spPr>
            <a:solidFill>
              <a:sysClr val="window" lastClr="FFFFFF">
                <a:alpha val="90000"/>
              </a:sysClr>
            </a:solidFill>
            <a:ln w="12700" cap="flat" cmpd="sng" algn="ctr">
              <a:solidFill>
                <a:srgbClr val="156082">
                  <a:tint val="65000"/>
                </a:srgbClr>
              </a:solidFill>
              <a:round/>
            </a:ln>
            <a:effectLst>
              <a:outerShdw blurRad="50800" dist="38100" dir="2700000" algn="tl" rotWithShape="0">
                <a:srgbClr val="156082">
                  <a:tint val="65000"/>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tint val="65000"/>
                    </a:schemeClr>
                  </a:solidFill>
                  <a:effectLst/>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solidFill>
                  <a:schemeClr val="lt1">
                    <a:alpha val="90000"/>
                  </a:schemeClr>
                </a:solidFill>
                <a:ln w="12700" cap="flat" cmpd="sng" algn="ctr">
                  <a:solidFill>
                    <a:schemeClr val="accent1">
                      <a:tint val="30000"/>
                    </a:schemeClr>
                  </a:solidFill>
                  <a:round/>
                </a:ln>
              </c15:spPr>
            </c:ext>
          </c:extLst>
        </c:dLbl>
      </c:pivotFmt>
      <c:pivotFmt>
        <c:idx val="33"/>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dLbl>
          <c:idx val="0"/>
          <c:spPr>
            <a:solidFill>
              <a:sysClr val="window" lastClr="FFFFFF">
                <a:alpha val="90000"/>
              </a:sysClr>
            </a:solidFill>
            <a:ln w="12700" cap="flat" cmpd="sng" algn="ctr">
              <a:solidFill>
                <a:srgbClr val="156082">
                  <a:tint val="65000"/>
                </a:srgbClr>
              </a:solidFill>
              <a:round/>
            </a:ln>
            <a:effectLst>
              <a:outerShdw blurRad="50800" dist="38100" dir="2700000" algn="tl" rotWithShape="0">
                <a:srgbClr val="156082">
                  <a:tint val="65000"/>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tint val="65000"/>
                    </a:schemeClr>
                  </a:solidFill>
                  <a:effectLst/>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solidFill>
                  <a:schemeClr val="lt1">
                    <a:alpha val="90000"/>
                  </a:schemeClr>
                </a:solidFill>
                <a:ln w="12700" cap="flat" cmpd="sng" algn="ctr">
                  <a:solidFill>
                    <a:schemeClr val="accent1">
                      <a:tint val="30000"/>
                    </a:schemeClr>
                  </a:solidFill>
                  <a:round/>
                </a:ln>
              </c15:spPr>
            </c:ext>
          </c:extLst>
        </c:dLbl>
      </c:pivotFmt>
      <c:pivotFmt>
        <c:idx val="34"/>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dLbl>
          <c:idx val="0"/>
          <c:spPr>
            <a:solidFill>
              <a:sysClr val="window" lastClr="FFFFFF">
                <a:alpha val="90000"/>
              </a:sysClr>
            </a:solidFill>
            <a:ln w="12700" cap="flat" cmpd="sng" algn="ctr">
              <a:solidFill>
                <a:srgbClr val="156082">
                  <a:tint val="65000"/>
                </a:srgbClr>
              </a:solidFill>
              <a:round/>
            </a:ln>
            <a:effectLst>
              <a:outerShdw blurRad="50800" dist="38100" dir="2700000" algn="tl" rotWithShape="0">
                <a:srgbClr val="156082">
                  <a:tint val="65000"/>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tint val="65000"/>
                    </a:schemeClr>
                  </a:solidFill>
                  <a:effectLst/>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solidFill>
                  <a:schemeClr val="lt1">
                    <a:alpha val="90000"/>
                  </a:schemeClr>
                </a:solidFill>
                <a:ln w="12700" cap="flat" cmpd="sng" algn="ctr">
                  <a:solidFill>
                    <a:schemeClr val="accent1">
                      <a:tint val="30000"/>
                    </a:schemeClr>
                  </a:solidFill>
                  <a:round/>
                </a:ln>
              </c15:spPr>
            </c:ext>
          </c:extLst>
        </c:dLbl>
      </c:pivotFmt>
      <c:pivotFmt>
        <c:idx val="35"/>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dLbl>
          <c:idx val="0"/>
          <c:spPr>
            <a:solidFill>
              <a:sysClr val="window" lastClr="FFFFFF">
                <a:alpha val="90000"/>
              </a:sysClr>
            </a:solidFill>
            <a:ln w="12700" cap="flat" cmpd="sng" algn="ctr">
              <a:solidFill>
                <a:srgbClr val="156082">
                  <a:tint val="65000"/>
                </a:srgbClr>
              </a:solidFill>
              <a:round/>
            </a:ln>
            <a:effectLst>
              <a:outerShdw blurRad="50800" dist="38100" dir="2700000" algn="tl" rotWithShape="0">
                <a:srgbClr val="156082">
                  <a:tint val="65000"/>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tint val="65000"/>
                    </a:schemeClr>
                  </a:solidFill>
                  <a:effectLst/>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solidFill>
                  <a:schemeClr val="lt1">
                    <a:alpha val="90000"/>
                  </a:schemeClr>
                </a:solidFill>
                <a:ln w="12700" cap="flat" cmpd="sng" algn="ctr">
                  <a:solidFill>
                    <a:schemeClr val="accent1">
                      <a:tint val="30000"/>
                    </a:schemeClr>
                  </a:solidFill>
                  <a:round/>
                </a:ln>
              </c15:spPr>
            </c:ext>
          </c:extLst>
        </c:dLbl>
      </c:pivotFmt>
      <c:pivotFmt>
        <c:idx val="36"/>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marker>
          <c:symbol val="none"/>
        </c:marker>
        <c:dLbl>
          <c:idx val="0"/>
          <c:spPr>
            <a:solidFill>
              <a:sysClr val="window" lastClr="FFFFFF">
                <a:alpha val="90000"/>
              </a:sysClr>
            </a:solidFill>
            <a:ln w="12700" cap="flat" cmpd="sng" algn="ctr">
              <a:solidFill>
                <a:srgbClr val="156082">
                  <a:shade val="65000"/>
                </a:srgbClr>
              </a:solidFill>
              <a:round/>
            </a:ln>
            <a:effectLst>
              <a:outerShdw blurRad="50800" dist="38100" dir="2700000" algn="tl" rotWithShape="0">
                <a:srgbClr val="156082">
                  <a:shade val="65000"/>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hade val="65000"/>
                    </a:schemeClr>
                  </a:solidFill>
                  <a:effectLst/>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solidFill>
                  <a:schemeClr val="lt1">
                    <a:alpha val="90000"/>
                  </a:schemeClr>
                </a:solidFill>
                <a:ln w="12700" cap="flat" cmpd="sng" algn="ctr">
                  <a:solidFill>
                    <a:schemeClr val="accent1">
                      <a:tint val="30000"/>
                    </a:schemeClr>
                  </a:solidFill>
                  <a:round/>
                </a:ln>
              </c15:spPr>
            </c:ext>
          </c:extLst>
        </c:dLbl>
      </c:pivotFmt>
      <c:pivotFmt>
        <c:idx val="37"/>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dLbl>
          <c:idx val="0"/>
          <c:spPr>
            <a:solidFill>
              <a:sysClr val="window" lastClr="FFFFFF">
                <a:alpha val="90000"/>
              </a:sysClr>
            </a:solidFill>
            <a:ln w="12700" cap="flat" cmpd="sng" algn="ctr">
              <a:solidFill>
                <a:srgbClr val="156082">
                  <a:shade val="65000"/>
                </a:srgbClr>
              </a:solidFill>
              <a:round/>
            </a:ln>
            <a:effectLst>
              <a:outerShdw blurRad="50800" dist="38100" dir="2700000" algn="tl" rotWithShape="0">
                <a:srgbClr val="156082">
                  <a:shade val="65000"/>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hade val="65000"/>
                    </a:schemeClr>
                  </a:solidFill>
                  <a:effectLst/>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solidFill>
                  <a:schemeClr val="lt1">
                    <a:alpha val="90000"/>
                  </a:schemeClr>
                </a:solidFill>
                <a:ln w="12700" cap="flat" cmpd="sng" algn="ctr">
                  <a:solidFill>
                    <a:schemeClr val="accent1">
                      <a:tint val="30000"/>
                    </a:schemeClr>
                  </a:solidFill>
                  <a:round/>
                </a:ln>
              </c15:spPr>
            </c:ext>
          </c:extLst>
        </c:dLbl>
      </c:pivotFmt>
      <c:pivotFmt>
        <c:idx val="38"/>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dLbl>
          <c:idx val="0"/>
          <c:spPr>
            <a:solidFill>
              <a:sysClr val="window" lastClr="FFFFFF">
                <a:alpha val="90000"/>
              </a:sysClr>
            </a:solidFill>
            <a:ln w="12700" cap="flat" cmpd="sng" algn="ctr">
              <a:solidFill>
                <a:srgbClr val="156082">
                  <a:shade val="65000"/>
                </a:srgbClr>
              </a:solidFill>
              <a:round/>
            </a:ln>
            <a:effectLst>
              <a:outerShdw blurRad="50800" dist="38100" dir="2700000" algn="tl" rotWithShape="0">
                <a:srgbClr val="156082">
                  <a:shade val="65000"/>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hade val="65000"/>
                    </a:schemeClr>
                  </a:solidFill>
                  <a:effectLst/>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solidFill>
                  <a:schemeClr val="lt1">
                    <a:alpha val="90000"/>
                  </a:schemeClr>
                </a:solidFill>
                <a:ln w="12700" cap="flat" cmpd="sng" algn="ctr">
                  <a:solidFill>
                    <a:schemeClr val="accent1">
                      <a:tint val="30000"/>
                    </a:schemeClr>
                  </a:solidFill>
                  <a:round/>
                </a:ln>
              </c15:spPr>
            </c:ext>
          </c:extLst>
        </c:dLbl>
      </c:pivotFmt>
      <c:pivotFmt>
        <c:idx val="39"/>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dLbl>
          <c:idx val="0"/>
          <c:spPr>
            <a:solidFill>
              <a:sysClr val="window" lastClr="FFFFFF">
                <a:alpha val="90000"/>
              </a:sysClr>
            </a:solidFill>
            <a:ln w="12700" cap="flat" cmpd="sng" algn="ctr">
              <a:solidFill>
                <a:srgbClr val="156082">
                  <a:shade val="65000"/>
                </a:srgbClr>
              </a:solidFill>
              <a:round/>
            </a:ln>
            <a:effectLst>
              <a:outerShdw blurRad="50800" dist="38100" dir="2700000" algn="tl" rotWithShape="0">
                <a:srgbClr val="156082">
                  <a:shade val="65000"/>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hade val="65000"/>
                    </a:schemeClr>
                  </a:solidFill>
                  <a:effectLst/>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solidFill>
                  <a:schemeClr val="lt1">
                    <a:alpha val="90000"/>
                  </a:schemeClr>
                </a:solidFill>
                <a:ln w="12700" cap="flat" cmpd="sng" algn="ctr">
                  <a:solidFill>
                    <a:schemeClr val="accent1">
                      <a:tint val="30000"/>
                    </a:schemeClr>
                  </a:solidFill>
                  <a:round/>
                </a:ln>
              </c15:spPr>
            </c:ext>
          </c:extLst>
        </c:dLbl>
      </c:pivotFmt>
      <c:pivotFmt>
        <c:idx val="40"/>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marker>
          <c:symbol val="none"/>
        </c:marker>
        <c:dLbl>
          <c:idx val="0"/>
          <c:spPr>
            <a:solidFill>
              <a:sysClr val="window" lastClr="FFFFFF">
                <a:alpha val="90000"/>
              </a:sysClr>
            </a:solidFill>
            <a:ln w="12700" cap="flat" cmpd="sng" algn="ctr">
              <a:solidFill>
                <a:srgbClr val="156082"/>
              </a:solidFill>
              <a:round/>
            </a:ln>
            <a:effectLst>
              <a:outerShdw blurRad="50800" dist="38100" dir="2700000" algn="tl" rotWithShape="0">
                <a:srgbClr val="156082">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solidFill>
                  <a:schemeClr val="lt1">
                    <a:alpha val="90000"/>
                  </a:schemeClr>
                </a:solidFill>
                <a:ln w="12700" cap="flat" cmpd="sng" algn="ctr">
                  <a:solidFill>
                    <a:schemeClr val="accent1">
                      <a:tint val="30000"/>
                    </a:schemeClr>
                  </a:solidFill>
                  <a:round/>
                </a:ln>
              </c15:spPr>
            </c:ext>
          </c:extLst>
        </c:dLbl>
      </c:pivotFmt>
      <c:pivotFmt>
        <c:idx val="41"/>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dLbl>
          <c:idx val="0"/>
          <c:spPr>
            <a:solidFill>
              <a:sysClr val="window" lastClr="FFFFFF">
                <a:alpha val="90000"/>
              </a:sysClr>
            </a:solidFill>
            <a:ln w="12700" cap="flat" cmpd="sng" algn="ctr">
              <a:solidFill>
                <a:srgbClr val="156082"/>
              </a:solidFill>
              <a:round/>
            </a:ln>
            <a:effectLst>
              <a:outerShdw blurRad="50800" dist="38100" dir="2700000" algn="tl" rotWithShape="0">
                <a:srgbClr val="156082">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solidFill>
                  <a:schemeClr val="lt1">
                    <a:alpha val="90000"/>
                  </a:schemeClr>
                </a:solidFill>
                <a:ln w="12700" cap="flat" cmpd="sng" algn="ctr">
                  <a:solidFill>
                    <a:schemeClr val="accent1">
                      <a:tint val="30000"/>
                    </a:schemeClr>
                  </a:solidFill>
                  <a:round/>
                </a:ln>
              </c15:spPr>
            </c:ext>
          </c:extLst>
        </c:dLbl>
      </c:pivotFmt>
      <c:pivotFmt>
        <c:idx val="42"/>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dLbl>
          <c:idx val="0"/>
          <c:spPr>
            <a:solidFill>
              <a:sysClr val="window" lastClr="FFFFFF">
                <a:alpha val="90000"/>
              </a:sysClr>
            </a:solidFill>
            <a:ln w="12700" cap="flat" cmpd="sng" algn="ctr">
              <a:solidFill>
                <a:srgbClr val="156082"/>
              </a:solidFill>
              <a:round/>
            </a:ln>
            <a:effectLst>
              <a:outerShdw blurRad="50800" dist="38100" dir="2700000" algn="tl" rotWithShape="0">
                <a:srgbClr val="156082">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solidFill>
                  <a:schemeClr val="lt1">
                    <a:alpha val="90000"/>
                  </a:schemeClr>
                </a:solidFill>
                <a:ln w="12700" cap="flat" cmpd="sng" algn="ctr">
                  <a:solidFill>
                    <a:schemeClr val="accent1">
                      <a:tint val="30000"/>
                    </a:schemeClr>
                  </a:solidFill>
                  <a:round/>
                </a:ln>
              </c15:spPr>
            </c:ext>
          </c:extLst>
        </c:dLbl>
      </c:pivotFmt>
      <c:pivotFmt>
        <c:idx val="43"/>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dLbl>
          <c:idx val="0"/>
          <c:spPr>
            <a:solidFill>
              <a:sysClr val="window" lastClr="FFFFFF">
                <a:alpha val="90000"/>
              </a:sysClr>
            </a:solidFill>
            <a:ln w="12700" cap="flat" cmpd="sng" algn="ctr">
              <a:solidFill>
                <a:srgbClr val="156082"/>
              </a:solidFill>
              <a:round/>
            </a:ln>
            <a:effectLst>
              <a:outerShdw blurRad="50800" dist="38100" dir="2700000" algn="tl" rotWithShape="0">
                <a:srgbClr val="156082">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solidFill>
                  <a:schemeClr val="lt1">
                    <a:alpha val="90000"/>
                  </a:schemeClr>
                </a:solidFill>
                <a:ln w="12700" cap="flat" cmpd="sng" algn="ctr">
                  <a:solidFill>
                    <a:schemeClr val="accent1">
                      <a:tint val="30000"/>
                    </a:schemeClr>
                  </a:solidFill>
                  <a:round/>
                </a:ln>
              </c15:spPr>
            </c:ext>
          </c:extLst>
        </c:dLbl>
      </c:pivotFmt>
      <c:pivotFmt>
        <c:idx val="44"/>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marker>
          <c:symbol val="none"/>
        </c:marker>
        <c:dLbl>
          <c:idx val="0"/>
          <c:spPr>
            <a:solidFill>
              <a:sysClr val="window" lastClr="FFFFFF">
                <a:alpha val="90000"/>
              </a:sysClr>
            </a:solidFill>
            <a:ln w="12700" cap="flat" cmpd="sng" algn="ctr">
              <a:solidFill>
                <a:srgbClr val="156082">
                  <a:tint val="65000"/>
                </a:srgbClr>
              </a:solidFill>
              <a:round/>
            </a:ln>
            <a:effectLst>
              <a:outerShdw blurRad="50800" dist="38100" dir="2700000" algn="tl" rotWithShape="0">
                <a:srgbClr val="156082">
                  <a:tint val="65000"/>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tint val="65000"/>
                    </a:schemeClr>
                  </a:solidFill>
                  <a:effectLst/>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solidFill>
                  <a:schemeClr val="lt1">
                    <a:alpha val="90000"/>
                  </a:schemeClr>
                </a:solidFill>
                <a:ln w="12700" cap="flat" cmpd="sng" algn="ctr">
                  <a:solidFill>
                    <a:schemeClr val="accent1">
                      <a:tint val="30000"/>
                    </a:schemeClr>
                  </a:solidFill>
                  <a:round/>
                </a:ln>
              </c15:spPr>
            </c:ext>
          </c:extLst>
        </c:dLbl>
      </c:pivotFmt>
      <c:pivotFmt>
        <c:idx val="45"/>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dLbl>
          <c:idx val="0"/>
          <c:spPr>
            <a:solidFill>
              <a:sysClr val="window" lastClr="FFFFFF">
                <a:alpha val="90000"/>
              </a:sysClr>
            </a:solidFill>
            <a:ln w="12700" cap="flat" cmpd="sng" algn="ctr">
              <a:solidFill>
                <a:srgbClr val="156082">
                  <a:tint val="65000"/>
                </a:srgbClr>
              </a:solidFill>
              <a:round/>
            </a:ln>
            <a:effectLst>
              <a:outerShdw blurRad="50800" dist="38100" dir="2700000" algn="tl" rotWithShape="0">
                <a:srgbClr val="156082">
                  <a:tint val="65000"/>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tint val="65000"/>
                    </a:schemeClr>
                  </a:solidFill>
                  <a:effectLst/>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solidFill>
                  <a:schemeClr val="lt1">
                    <a:alpha val="90000"/>
                  </a:schemeClr>
                </a:solidFill>
                <a:ln w="12700" cap="flat" cmpd="sng" algn="ctr">
                  <a:solidFill>
                    <a:schemeClr val="accent1">
                      <a:tint val="30000"/>
                    </a:schemeClr>
                  </a:solidFill>
                  <a:round/>
                </a:ln>
              </c15:spPr>
            </c:ext>
          </c:extLst>
        </c:dLbl>
      </c:pivotFmt>
      <c:pivotFmt>
        <c:idx val="46"/>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dLbl>
          <c:idx val="0"/>
          <c:spPr>
            <a:solidFill>
              <a:sysClr val="window" lastClr="FFFFFF">
                <a:alpha val="90000"/>
              </a:sysClr>
            </a:solidFill>
            <a:ln w="12700" cap="flat" cmpd="sng" algn="ctr">
              <a:solidFill>
                <a:srgbClr val="156082">
                  <a:tint val="65000"/>
                </a:srgbClr>
              </a:solidFill>
              <a:round/>
            </a:ln>
            <a:effectLst>
              <a:outerShdw blurRad="50800" dist="38100" dir="2700000" algn="tl" rotWithShape="0">
                <a:srgbClr val="156082">
                  <a:tint val="65000"/>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tint val="65000"/>
                    </a:schemeClr>
                  </a:solidFill>
                  <a:effectLst/>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solidFill>
                  <a:schemeClr val="lt1">
                    <a:alpha val="90000"/>
                  </a:schemeClr>
                </a:solidFill>
                <a:ln w="12700" cap="flat" cmpd="sng" algn="ctr">
                  <a:solidFill>
                    <a:schemeClr val="accent1">
                      <a:tint val="30000"/>
                    </a:schemeClr>
                  </a:solidFill>
                  <a:round/>
                </a:ln>
              </c15:spPr>
            </c:ext>
          </c:extLst>
        </c:dLbl>
      </c:pivotFmt>
      <c:pivotFmt>
        <c:idx val="47"/>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dLbl>
          <c:idx val="0"/>
          <c:spPr>
            <a:solidFill>
              <a:sysClr val="window" lastClr="FFFFFF">
                <a:alpha val="90000"/>
              </a:sysClr>
            </a:solidFill>
            <a:ln w="12700" cap="flat" cmpd="sng" algn="ctr">
              <a:solidFill>
                <a:srgbClr val="156082">
                  <a:tint val="65000"/>
                </a:srgbClr>
              </a:solidFill>
              <a:round/>
            </a:ln>
            <a:effectLst>
              <a:outerShdw blurRad="50800" dist="38100" dir="2700000" algn="tl" rotWithShape="0">
                <a:srgbClr val="156082">
                  <a:tint val="65000"/>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tint val="65000"/>
                    </a:schemeClr>
                  </a:solidFill>
                  <a:effectLst/>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solidFill>
                  <a:schemeClr val="lt1">
                    <a:alpha val="90000"/>
                  </a:schemeClr>
                </a:solidFill>
                <a:ln w="12700" cap="flat" cmpd="sng" algn="ctr">
                  <a:solidFill>
                    <a:schemeClr val="accent1">
                      <a:tint val="30000"/>
                    </a:schemeClr>
                  </a:solidFill>
                  <a:round/>
                </a:ln>
              </c15:spPr>
            </c:ext>
          </c:extLst>
        </c:dLbl>
      </c:pivotFmt>
      <c:pivotFmt>
        <c:idx val="48"/>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marker>
          <c:symbol val="none"/>
        </c:marker>
        <c:dLbl>
          <c:idx val="0"/>
          <c:spPr>
            <a:solidFill>
              <a:sysClr val="window" lastClr="FFFFFF">
                <a:alpha val="90000"/>
              </a:sysClr>
            </a:solidFill>
            <a:ln w="12700" cap="flat" cmpd="sng" algn="ctr">
              <a:solidFill>
                <a:srgbClr val="156082">
                  <a:shade val="65000"/>
                </a:srgbClr>
              </a:solidFill>
              <a:round/>
            </a:ln>
            <a:effectLst>
              <a:outerShdw blurRad="50800" dist="38100" dir="2700000" algn="tl" rotWithShape="0">
                <a:srgbClr val="156082">
                  <a:shade val="65000"/>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hade val="65000"/>
                    </a:schemeClr>
                  </a:solidFill>
                  <a:effectLst/>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solidFill>
                  <a:schemeClr val="lt1">
                    <a:alpha val="90000"/>
                  </a:schemeClr>
                </a:solidFill>
                <a:ln w="12700" cap="flat" cmpd="sng" algn="ctr">
                  <a:solidFill>
                    <a:schemeClr val="accent1">
                      <a:tint val="30000"/>
                    </a:schemeClr>
                  </a:solidFill>
                  <a:round/>
                </a:ln>
              </c15:spPr>
            </c:ext>
          </c:extLst>
        </c:dLbl>
      </c:pivotFmt>
      <c:pivotFmt>
        <c:idx val="49"/>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dLbl>
          <c:idx val="0"/>
          <c:spPr>
            <a:solidFill>
              <a:sysClr val="window" lastClr="FFFFFF">
                <a:alpha val="90000"/>
              </a:sysClr>
            </a:solidFill>
            <a:ln w="12700" cap="flat" cmpd="sng" algn="ctr">
              <a:solidFill>
                <a:srgbClr val="156082">
                  <a:shade val="65000"/>
                </a:srgbClr>
              </a:solidFill>
              <a:round/>
            </a:ln>
            <a:effectLst>
              <a:outerShdw blurRad="50800" dist="38100" dir="2700000" algn="tl" rotWithShape="0">
                <a:srgbClr val="156082">
                  <a:shade val="65000"/>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hade val="65000"/>
                    </a:schemeClr>
                  </a:solidFill>
                  <a:effectLst/>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solidFill>
                  <a:schemeClr val="lt1">
                    <a:alpha val="90000"/>
                  </a:schemeClr>
                </a:solidFill>
                <a:ln w="12700" cap="flat" cmpd="sng" algn="ctr">
                  <a:solidFill>
                    <a:schemeClr val="accent1">
                      <a:tint val="30000"/>
                    </a:schemeClr>
                  </a:solidFill>
                  <a:round/>
                </a:ln>
              </c15:spPr>
            </c:ext>
          </c:extLst>
        </c:dLbl>
      </c:pivotFmt>
      <c:pivotFmt>
        <c:idx val="50"/>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dLbl>
          <c:idx val="0"/>
          <c:spPr>
            <a:solidFill>
              <a:sysClr val="window" lastClr="FFFFFF">
                <a:alpha val="90000"/>
              </a:sysClr>
            </a:solidFill>
            <a:ln w="12700" cap="flat" cmpd="sng" algn="ctr">
              <a:solidFill>
                <a:srgbClr val="156082">
                  <a:shade val="65000"/>
                </a:srgbClr>
              </a:solidFill>
              <a:round/>
            </a:ln>
            <a:effectLst>
              <a:outerShdw blurRad="50800" dist="38100" dir="2700000" algn="tl" rotWithShape="0">
                <a:srgbClr val="156082">
                  <a:shade val="65000"/>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hade val="65000"/>
                    </a:schemeClr>
                  </a:solidFill>
                  <a:effectLst/>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solidFill>
                  <a:schemeClr val="lt1">
                    <a:alpha val="90000"/>
                  </a:schemeClr>
                </a:solidFill>
                <a:ln w="12700" cap="flat" cmpd="sng" algn="ctr">
                  <a:solidFill>
                    <a:schemeClr val="accent1">
                      <a:tint val="30000"/>
                    </a:schemeClr>
                  </a:solidFill>
                  <a:round/>
                </a:ln>
              </c15:spPr>
            </c:ext>
          </c:extLst>
        </c:dLbl>
      </c:pivotFmt>
      <c:pivotFmt>
        <c:idx val="51"/>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dLbl>
          <c:idx val="0"/>
          <c:spPr>
            <a:solidFill>
              <a:sysClr val="window" lastClr="FFFFFF">
                <a:alpha val="90000"/>
              </a:sysClr>
            </a:solidFill>
            <a:ln w="12700" cap="flat" cmpd="sng" algn="ctr">
              <a:solidFill>
                <a:srgbClr val="156082">
                  <a:shade val="65000"/>
                </a:srgbClr>
              </a:solidFill>
              <a:round/>
            </a:ln>
            <a:effectLst>
              <a:outerShdw blurRad="50800" dist="38100" dir="2700000" algn="tl" rotWithShape="0">
                <a:srgbClr val="156082">
                  <a:shade val="65000"/>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hade val="65000"/>
                    </a:schemeClr>
                  </a:solidFill>
                  <a:effectLst/>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solidFill>
                  <a:schemeClr val="lt1">
                    <a:alpha val="90000"/>
                  </a:schemeClr>
                </a:solidFill>
                <a:ln w="12700" cap="flat" cmpd="sng" algn="ctr">
                  <a:solidFill>
                    <a:schemeClr val="accent1">
                      <a:tint val="30000"/>
                    </a:schemeClr>
                  </a:solidFill>
                  <a:round/>
                </a:ln>
              </c15:spPr>
            </c:ext>
          </c:extLst>
        </c:dLbl>
      </c:pivotFmt>
      <c:pivotFmt>
        <c:idx val="52"/>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marker>
          <c:symbol val="none"/>
        </c:marker>
        <c:dLbl>
          <c:idx val="0"/>
          <c:spPr>
            <a:solidFill>
              <a:sysClr val="window" lastClr="FFFFFF">
                <a:alpha val="90000"/>
              </a:sysClr>
            </a:solidFill>
            <a:ln w="12700" cap="flat" cmpd="sng" algn="ctr">
              <a:solidFill>
                <a:srgbClr val="156082"/>
              </a:solidFill>
              <a:round/>
            </a:ln>
            <a:effectLst>
              <a:outerShdw blurRad="50800" dist="38100" dir="2700000" algn="tl" rotWithShape="0">
                <a:srgbClr val="156082">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solidFill>
                  <a:schemeClr val="lt1">
                    <a:alpha val="90000"/>
                  </a:schemeClr>
                </a:solidFill>
                <a:ln w="12700" cap="flat" cmpd="sng" algn="ctr">
                  <a:solidFill>
                    <a:schemeClr val="accent1">
                      <a:tint val="30000"/>
                    </a:schemeClr>
                  </a:solidFill>
                  <a:round/>
                </a:ln>
              </c15:spPr>
            </c:ext>
          </c:extLst>
        </c:dLbl>
      </c:pivotFmt>
      <c:pivotFmt>
        <c:idx val="53"/>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dLbl>
          <c:idx val="0"/>
          <c:spPr>
            <a:solidFill>
              <a:sysClr val="window" lastClr="FFFFFF">
                <a:alpha val="90000"/>
              </a:sysClr>
            </a:solidFill>
            <a:ln w="12700" cap="flat" cmpd="sng" algn="ctr">
              <a:solidFill>
                <a:srgbClr val="156082"/>
              </a:solidFill>
              <a:round/>
            </a:ln>
            <a:effectLst>
              <a:outerShdw blurRad="50800" dist="38100" dir="2700000" algn="tl" rotWithShape="0">
                <a:srgbClr val="156082">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solidFill>
                  <a:schemeClr val="lt1">
                    <a:alpha val="90000"/>
                  </a:schemeClr>
                </a:solidFill>
                <a:ln w="12700" cap="flat" cmpd="sng" algn="ctr">
                  <a:solidFill>
                    <a:schemeClr val="accent1">
                      <a:tint val="30000"/>
                    </a:schemeClr>
                  </a:solidFill>
                  <a:round/>
                </a:ln>
              </c15:spPr>
            </c:ext>
          </c:extLst>
        </c:dLbl>
      </c:pivotFmt>
      <c:pivotFmt>
        <c:idx val="54"/>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dLbl>
          <c:idx val="0"/>
          <c:spPr>
            <a:solidFill>
              <a:sysClr val="window" lastClr="FFFFFF">
                <a:alpha val="90000"/>
              </a:sysClr>
            </a:solidFill>
            <a:ln w="12700" cap="flat" cmpd="sng" algn="ctr">
              <a:solidFill>
                <a:srgbClr val="156082"/>
              </a:solidFill>
              <a:round/>
            </a:ln>
            <a:effectLst>
              <a:outerShdw blurRad="50800" dist="38100" dir="2700000" algn="tl" rotWithShape="0">
                <a:srgbClr val="156082">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solidFill>
                  <a:schemeClr val="lt1">
                    <a:alpha val="90000"/>
                  </a:schemeClr>
                </a:solidFill>
                <a:ln w="12700" cap="flat" cmpd="sng" algn="ctr">
                  <a:solidFill>
                    <a:schemeClr val="accent1">
                      <a:tint val="30000"/>
                    </a:schemeClr>
                  </a:solidFill>
                  <a:round/>
                </a:ln>
              </c15:spPr>
            </c:ext>
          </c:extLst>
        </c:dLbl>
      </c:pivotFmt>
      <c:pivotFmt>
        <c:idx val="55"/>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dLbl>
          <c:idx val="0"/>
          <c:spPr>
            <a:solidFill>
              <a:sysClr val="window" lastClr="FFFFFF">
                <a:alpha val="90000"/>
              </a:sysClr>
            </a:solidFill>
            <a:ln w="12700" cap="flat" cmpd="sng" algn="ctr">
              <a:solidFill>
                <a:srgbClr val="156082"/>
              </a:solidFill>
              <a:round/>
            </a:ln>
            <a:effectLst>
              <a:outerShdw blurRad="50800" dist="38100" dir="2700000" algn="tl" rotWithShape="0">
                <a:srgbClr val="156082">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solidFill>
                  <a:schemeClr val="lt1">
                    <a:alpha val="90000"/>
                  </a:schemeClr>
                </a:solidFill>
                <a:ln w="12700" cap="flat" cmpd="sng" algn="ctr">
                  <a:solidFill>
                    <a:schemeClr val="accent1">
                      <a:tint val="30000"/>
                    </a:schemeClr>
                  </a:solidFill>
                  <a:round/>
                </a:ln>
              </c15:spPr>
            </c:ext>
          </c:extLst>
        </c:dLbl>
      </c:pivotFmt>
      <c:pivotFmt>
        <c:idx val="56"/>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marker>
          <c:symbol val="none"/>
        </c:marker>
        <c:dLbl>
          <c:idx val="0"/>
          <c:spPr>
            <a:solidFill>
              <a:sysClr val="window" lastClr="FFFFFF">
                <a:alpha val="90000"/>
              </a:sysClr>
            </a:solidFill>
            <a:ln w="12700" cap="flat" cmpd="sng" algn="ctr">
              <a:solidFill>
                <a:srgbClr val="156082">
                  <a:tint val="65000"/>
                </a:srgbClr>
              </a:solidFill>
              <a:round/>
            </a:ln>
            <a:effectLst>
              <a:outerShdw blurRad="50800" dist="38100" dir="2700000" algn="tl" rotWithShape="0">
                <a:srgbClr val="156082">
                  <a:tint val="65000"/>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tint val="65000"/>
                    </a:schemeClr>
                  </a:solidFill>
                  <a:effectLst/>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solidFill>
                  <a:schemeClr val="lt1">
                    <a:alpha val="90000"/>
                  </a:schemeClr>
                </a:solidFill>
                <a:ln w="12700" cap="flat" cmpd="sng" algn="ctr">
                  <a:solidFill>
                    <a:schemeClr val="accent1">
                      <a:tint val="30000"/>
                    </a:schemeClr>
                  </a:solidFill>
                  <a:round/>
                </a:ln>
              </c15:spPr>
            </c:ext>
          </c:extLst>
        </c:dLbl>
      </c:pivotFmt>
      <c:pivotFmt>
        <c:idx val="57"/>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dLbl>
          <c:idx val="0"/>
          <c:spPr>
            <a:solidFill>
              <a:sysClr val="window" lastClr="FFFFFF">
                <a:alpha val="90000"/>
              </a:sysClr>
            </a:solidFill>
            <a:ln w="12700" cap="flat" cmpd="sng" algn="ctr">
              <a:solidFill>
                <a:srgbClr val="156082">
                  <a:tint val="65000"/>
                </a:srgbClr>
              </a:solidFill>
              <a:round/>
            </a:ln>
            <a:effectLst>
              <a:outerShdw blurRad="50800" dist="38100" dir="2700000" algn="tl" rotWithShape="0">
                <a:srgbClr val="156082">
                  <a:tint val="65000"/>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tint val="65000"/>
                    </a:schemeClr>
                  </a:solidFill>
                  <a:effectLst/>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solidFill>
                  <a:schemeClr val="lt1">
                    <a:alpha val="90000"/>
                  </a:schemeClr>
                </a:solidFill>
                <a:ln w="12700" cap="flat" cmpd="sng" algn="ctr">
                  <a:solidFill>
                    <a:schemeClr val="accent1">
                      <a:tint val="30000"/>
                    </a:schemeClr>
                  </a:solidFill>
                  <a:round/>
                </a:ln>
              </c15:spPr>
            </c:ext>
          </c:extLst>
        </c:dLbl>
      </c:pivotFmt>
      <c:pivotFmt>
        <c:idx val="58"/>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dLbl>
          <c:idx val="0"/>
          <c:spPr>
            <a:solidFill>
              <a:sysClr val="window" lastClr="FFFFFF">
                <a:alpha val="90000"/>
              </a:sysClr>
            </a:solidFill>
            <a:ln w="12700" cap="flat" cmpd="sng" algn="ctr">
              <a:solidFill>
                <a:srgbClr val="156082">
                  <a:tint val="65000"/>
                </a:srgbClr>
              </a:solidFill>
              <a:round/>
            </a:ln>
            <a:effectLst>
              <a:outerShdw blurRad="50800" dist="38100" dir="2700000" algn="tl" rotWithShape="0">
                <a:srgbClr val="156082">
                  <a:tint val="65000"/>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tint val="65000"/>
                    </a:schemeClr>
                  </a:solidFill>
                  <a:effectLst/>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solidFill>
                  <a:schemeClr val="lt1">
                    <a:alpha val="90000"/>
                  </a:schemeClr>
                </a:solidFill>
                <a:ln w="12700" cap="flat" cmpd="sng" algn="ctr">
                  <a:solidFill>
                    <a:schemeClr val="accent1">
                      <a:tint val="30000"/>
                    </a:schemeClr>
                  </a:solidFill>
                  <a:round/>
                </a:ln>
              </c15:spPr>
            </c:ext>
          </c:extLst>
        </c:dLbl>
      </c:pivotFmt>
      <c:pivotFmt>
        <c:idx val="59"/>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dLbl>
          <c:idx val="0"/>
          <c:spPr>
            <a:solidFill>
              <a:sysClr val="window" lastClr="FFFFFF">
                <a:alpha val="90000"/>
              </a:sysClr>
            </a:solidFill>
            <a:ln w="12700" cap="flat" cmpd="sng" algn="ctr">
              <a:solidFill>
                <a:srgbClr val="156082">
                  <a:tint val="65000"/>
                </a:srgbClr>
              </a:solidFill>
              <a:round/>
            </a:ln>
            <a:effectLst>
              <a:outerShdw blurRad="50800" dist="38100" dir="2700000" algn="tl" rotWithShape="0">
                <a:srgbClr val="156082">
                  <a:tint val="65000"/>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tint val="65000"/>
                    </a:schemeClr>
                  </a:solidFill>
                  <a:effectLst/>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solidFill>
                  <a:schemeClr val="lt1">
                    <a:alpha val="90000"/>
                  </a:schemeClr>
                </a:solidFill>
                <a:ln w="12700" cap="flat" cmpd="sng" algn="ctr">
                  <a:solidFill>
                    <a:schemeClr val="accent1">
                      <a:tint val="30000"/>
                    </a:schemeClr>
                  </a:solidFill>
                  <a:round/>
                </a:ln>
              </c15:spPr>
            </c:ext>
          </c:extLst>
        </c:dLbl>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'Rating Category'!$B$3</c:f>
              <c:strCache>
                <c:ptCount val="1"/>
                <c:pt idx="0">
                  <c:v>Count of Product</c:v>
                </c:pt>
              </c:strCache>
            </c:strRef>
          </c:tx>
          <c:dPt>
            <c:idx val="0"/>
            <c:bubble3D val="0"/>
            <c:spPr>
              <a:solidFill>
                <a:schemeClr val="accent1">
                  <a:shade val="65000"/>
                  <a:alpha val="90000"/>
                </a:schemeClr>
              </a:solidFill>
              <a:ln w="19050">
                <a:solidFill>
                  <a:schemeClr val="accent1">
                    <a:shade val="65000"/>
                    <a:lumMod val="75000"/>
                  </a:schemeClr>
                </a:solidFill>
              </a:ln>
              <a:effectLst>
                <a:innerShdw blurRad="114300">
                  <a:schemeClr val="accent1">
                    <a:shade val="65000"/>
                    <a:lumMod val="75000"/>
                  </a:schemeClr>
                </a:innerShdw>
              </a:effectLst>
              <a:scene3d>
                <a:camera prst="orthographicFront"/>
                <a:lightRig rig="threePt" dir="t"/>
              </a:scene3d>
              <a:sp3d contourW="19050" prstMaterial="flat">
                <a:contourClr>
                  <a:schemeClr val="accent1">
                    <a:shade val="65000"/>
                    <a:lumMod val="75000"/>
                  </a:schemeClr>
                </a:contourClr>
              </a:sp3d>
            </c:spPr>
            <c:extLst>
              <c:ext xmlns:c16="http://schemas.microsoft.com/office/drawing/2014/chart" uri="{C3380CC4-5D6E-409C-BE32-E72D297353CC}">
                <c16:uniqueId val="{00000001-CC46-4A63-A64A-58099D833138}"/>
              </c:ext>
            </c:extLst>
          </c:dPt>
          <c:dPt>
            <c:idx val="1"/>
            <c:bubble3D val="0"/>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extLst>
              <c:ext xmlns:c16="http://schemas.microsoft.com/office/drawing/2014/chart" uri="{C3380CC4-5D6E-409C-BE32-E72D297353CC}">
                <c16:uniqueId val="{00000003-CC46-4A63-A64A-58099D833138}"/>
              </c:ext>
            </c:extLst>
          </c:dPt>
          <c:dPt>
            <c:idx val="2"/>
            <c:bubble3D val="0"/>
            <c:spPr>
              <a:solidFill>
                <a:schemeClr val="accent1">
                  <a:tint val="65000"/>
                  <a:alpha val="90000"/>
                </a:schemeClr>
              </a:solidFill>
              <a:ln w="19050">
                <a:solidFill>
                  <a:schemeClr val="accent1">
                    <a:tint val="65000"/>
                    <a:lumMod val="75000"/>
                  </a:schemeClr>
                </a:solidFill>
              </a:ln>
              <a:effectLst>
                <a:innerShdw blurRad="114300">
                  <a:schemeClr val="accent1">
                    <a:tint val="65000"/>
                    <a:lumMod val="75000"/>
                  </a:schemeClr>
                </a:innerShdw>
              </a:effectLst>
              <a:scene3d>
                <a:camera prst="orthographicFront"/>
                <a:lightRig rig="threePt" dir="t"/>
              </a:scene3d>
              <a:sp3d contourW="19050" prstMaterial="flat">
                <a:contourClr>
                  <a:schemeClr val="accent1">
                    <a:tint val="65000"/>
                    <a:lumMod val="75000"/>
                  </a:schemeClr>
                </a:contourClr>
              </a:sp3d>
            </c:spPr>
            <c:extLst>
              <c:ext xmlns:c16="http://schemas.microsoft.com/office/drawing/2014/chart" uri="{C3380CC4-5D6E-409C-BE32-E72D297353CC}">
                <c16:uniqueId val="{00000005-CC46-4A63-A64A-58099D833138}"/>
              </c:ext>
            </c:extLst>
          </c:dPt>
          <c:dLbls>
            <c:dLbl>
              <c:idx val="0"/>
              <c:spPr>
                <a:solidFill>
                  <a:sysClr val="window" lastClr="FFFFFF">
                    <a:alpha val="90000"/>
                  </a:sysClr>
                </a:solidFill>
                <a:ln w="12700" cap="flat" cmpd="sng" algn="ctr">
                  <a:solidFill>
                    <a:srgbClr val="156082">
                      <a:shade val="65000"/>
                    </a:srgbClr>
                  </a:solidFill>
                  <a:round/>
                </a:ln>
                <a:effectLst>
                  <a:outerShdw blurRad="50800" dist="38100" dir="2700000" algn="tl" rotWithShape="0">
                    <a:srgbClr val="156082">
                      <a:shade val="65000"/>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hade val="65000"/>
                        </a:schemeClr>
                      </a:solidFill>
                      <a:effectLst/>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solidFill>
                      <a:schemeClr val="lt1">
                        <a:alpha val="90000"/>
                      </a:schemeClr>
                    </a:solidFill>
                    <a:ln w="12700" cap="flat" cmpd="sng" algn="ctr">
                      <a:solidFill>
                        <a:schemeClr val="accent1">
                          <a:tint val="30000"/>
                        </a:schemeClr>
                      </a:solidFill>
                      <a:round/>
                    </a:ln>
                  </c15:spPr>
                </c:ext>
                <c:ext xmlns:c16="http://schemas.microsoft.com/office/drawing/2014/chart" uri="{C3380CC4-5D6E-409C-BE32-E72D297353CC}">
                  <c16:uniqueId val="{00000001-CC46-4A63-A64A-58099D833138}"/>
                </c:ext>
              </c:extLst>
            </c:dLbl>
            <c:dLbl>
              <c:idx val="1"/>
              <c:spPr>
                <a:solidFill>
                  <a:sysClr val="window" lastClr="FFFFFF">
                    <a:alpha val="90000"/>
                  </a:sysClr>
                </a:solidFill>
                <a:ln w="12700" cap="flat" cmpd="sng" algn="ctr">
                  <a:solidFill>
                    <a:srgbClr val="156082">
                      <a:shade val="65000"/>
                    </a:srgbClr>
                  </a:solidFill>
                  <a:round/>
                </a:ln>
                <a:effectLst>
                  <a:outerShdw blurRad="50800" dist="38100" dir="2700000" algn="tl" rotWithShape="0">
                    <a:srgbClr val="156082">
                      <a:shade val="65000"/>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hade val="65000"/>
                        </a:schemeClr>
                      </a:solidFill>
                      <a:effectLst/>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solidFill>
                      <a:schemeClr val="lt1">
                        <a:alpha val="90000"/>
                      </a:schemeClr>
                    </a:solidFill>
                    <a:ln w="12700" cap="flat" cmpd="sng" algn="ctr">
                      <a:solidFill>
                        <a:schemeClr val="accent1">
                          <a:tint val="30000"/>
                        </a:schemeClr>
                      </a:solidFill>
                      <a:round/>
                    </a:ln>
                  </c15:spPr>
                </c:ext>
                <c:ext xmlns:c16="http://schemas.microsoft.com/office/drawing/2014/chart" uri="{C3380CC4-5D6E-409C-BE32-E72D297353CC}">
                  <c16:uniqueId val="{00000003-CC46-4A63-A64A-58099D833138}"/>
                </c:ext>
              </c:extLst>
            </c:dLbl>
            <c:dLbl>
              <c:idx val="2"/>
              <c:spPr>
                <a:solidFill>
                  <a:sysClr val="window" lastClr="FFFFFF">
                    <a:alpha val="90000"/>
                  </a:sysClr>
                </a:solidFill>
                <a:ln w="12700" cap="flat" cmpd="sng" algn="ctr">
                  <a:solidFill>
                    <a:srgbClr val="156082">
                      <a:shade val="65000"/>
                    </a:srgbClr>
                  </a:solidFill>
                  <a:round/>
                </a:ln>
                <a:effectLst>
                  <a:outerShdw blurRad="50800" dist="38100" dir="2700000" algn="tl" rotWithShape="0">
                    <a:srgbClr val="156082">
                      <a:shade val="65000"/>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hade val="65000"/>
                        </a:schemeClr>
                      </a:solidFill>
                      <a:effectLst/>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solidFill>
                      <a:schemeClr val="lt1">
                        <a:alpha val="90000"/>
                      </a:schemeClr>
                    </a:solidFill>
                    <a:ln w="12700" cap="flat" cmpd="sng" algn="ctr">
                      <a:solidFill>
                        <a:schemeClr val="accent1">
                          <a:tint val="30000"/>
                        </a:schemeClr>
                      </a:solidFill>
                      <a:round/>
                    </a:ln>
                  </c15:spPr>
                </c:ext>
                <c:ext xmlns:c16="http://schemas.microsoft.com/office/drawing/2014/chart" uri="{C3380CC4-5D6E-409C-BE32-E72D297353CC}">
                  <c16:uniqueId val="{00000005-CC46-4A63-A64A-58099D833138}"/>
                </c:ext>
              </c:extLst>
            </c:dLbl>
            <c:spPr>
              <a:solidFill>
                <a:sysClr val="window" lastClr="FFFFFF">
                  <a:alpha val="90000"/>
                </a:sysClr>
              </a:solidFill>
              <a:ln w="12700" cap="flat" cmpd="sng" algn="ctr">
                <a:solidFill>
                  <a:srgbClr val="156082">
                    <a:shade val="65000"/>
                  </a:srgbClr>
                </a:solidFill>
                <a:round/>
              </a:ln>
              <a:effectLst>
                <a:outerShdw blurRad="50800" dist="38100" dir="2700000" algn="tl" rotWithShape="0">
                  <a:srgbClr val="156082">
                    <a:shade val="65000"/>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hade val="65000"/>
                      </a:schemeClr>
                    </a:solidFill>
                    <a:effectLst/>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solidFill>
                    <a:schemeClr val="lt1">
                      <a:alpha val="90000"/>
                    </a:schemeClr>
                  </a:solidFill>
                  <a:ln w="12700" cap="flat" cmpd="sng" algn="ctr">
                    <a:solidFill>
                      <a:schemeClr val="accent1">
                        <a:tint val="30000"/>
                      </a:schemeClr>
                    </a:solidFill>
                    <a:round/>
                  </a:ln>
                </c15:spPr>
              </c:ext>
            </c:extLst>
          </c:dLbls>
          <c:cat>
            <c:strRef>
              <c:f>'Rating Category'!$A$4:$A$7</c:f>
              <c:strCache>
                <c:ptCount val="3"/>
                <c:pt idx="0">
                  <c:v>Average</c:v>
                </c:pt>
                <c:pt idx="1">
                  <c:v>Excellent</c:v>
                </c:pt>
                <c:pt idx="2">
                  <c:v>Poor</c:v>
                </c:pt>
              </c:strCache>
            </c:strRef>
          </c:cat>
          <c:val>
            <c:numRef>
              <c:f>'Rating Category'!$B$4:$B$7</c:f>
              <c:numCache>
                <c:formatCode>General</c:formatCode>
                <c:ptCount val="3"/>
                <c:pt idx="0">
                  <c:v>22</c:v>
                </c:pt>
                <c:pt idx="1">
                  <c:v>22</c:v>
                </c:pt>
                <c:pt idx="2">
                  <c:v>12</c:v>
                </c:pt>
              </c:numCache>
            </c:numRef>
          </c:val>
          <c:extLst>
            <c:ext xmlns:c16="http://schemas.microsoft.com/office/drawing/2014/chart" uri="{C3380CC4-5D6E-409C-BE32-E72D297353CC}">
              <c16:uniqueId val="{00000006-CC46-4A63-A64A-58099D833138}"/>
            </c:ext>
          </c:extLst>
        </c:ser>
        <c:ser>
          <c:idx val="1"/>
          <c:order val="1"/>
          <c:tx>
            <c:strRef>
              <c:f>'Rating Category'!$C$3</c:f>
              <c:strCache>
                <c:ptCount val="1"/>
                <c:pt idx="0">
                  <c:v>Average of Review</c:v>
                </c:pt>
              </c:strCache>
            </c:strRef>
          </c:tx>
          <c:dPt>
            <c:idx val="0"/>
            <c:bubble3D val="0"/>
            <c:spPr>
              <a:solidFill>
                <a:schemeClr val="accent1">
                  <a:shade val="65000"/>
                  <a:alpha val="90000"/>
                </a:schemeClr>
              </a:solidFill>
              <a:ln w="19050">
                <a:solidFill>
                  <a:schemeClr val="accent1">
                    <a:shade val="65000"/>
                    <a:lumMod val="75000"/>
                  </a:schemeClr>
                </a:solidFill>
              </a:ln>
              <a:effectLst>
                <a:innerShdw blurRad="114300">
                  <a:schemeClr val="accent1">
                    <a:shade val="65000"/>
                    <a:lumMod val="75000"/>
                  </a:schemeClr>
                </a:innerShdw>
              </a:effectLst>
              <a:scene3d>
                <a:camera prst="orthographicFront"/>
                <a:lightRig rig="threePt" dir="t"/>
              </a:scene3d>
              <a:sp3d contourW="19050" prstMaterial="flat">
                <a:contourClr>
                  <a:schemeClr val="accent1">
                    <a:shade val="65000"/>
                    <a:lumMod val="75000"/>
                  </a:schemeClr>
                </a:contourClr>
              </a:sp3d>
            </c:spPr>
            <c:extLst>
              <c:ext xmlns:c16="http://schemas.microsoft.com/office/drawing/2014/chart" uri="{C3380CC4-5D6E-409C-BE32-E72D297353CC}">
                <c16:uniqueId val="{00000008-CC46-4A63-A64A-58099D833138}"/>
              </c:ext>
            </c:extLst>
          </c:dPt>
          <c:dPt>
            <c:idx val="1"/>
            <c:bubble3D val="0"/>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extLst>
              <c:ext xmlns:c16="http://schemas.microsoft.com/office/drawing/2014/chart" uri="{C3380CC4-5D6E-409C-BE32-E72D297353CC}">
                <c16:uniqueId val="{0000000A-CC46-4A63-A64A-58099D833138}"/>
              </c:ext>
            </c:extLst>
          </c:dPt>
          <c:dPt>
            <c:idx val="2"/>
            <c:bubble3D val="0"/>
            <c:spPr>
              <a:solidFill>
                <a:schemeClr val="accent1">
                  <a:tint val="65000"/>
                  <a:alpha val="90000"/>
                </a:schemeClr>
              </a:solidFill>
              <a:ln w="19050">
                <a:solidFill>
                  <a:schemeClr val="accent1">
                    <a:tint val="65000"/>
                    <a:lumMod val="75000"/>
                  </a:schemeClr>
                </a:solidFill>
              </a:ln>
              <a:effectLst>
                <a:innerShdw blurRad="114300">
                  <a:schemeClr val="accent1">
                    <a:tint val="65000"/>
                    <a:lumMod val="75000"/>
                  </a:schemeClr>
                </a:innerShdw>
              </a:effectLst>
              <a:scene3d>
                <a:camera prst="orthographicFront"/>
                <a:lightRig rig="threePt" dir="t"/>
              </a:scene3d>
              <a:sp3d contourW="19050" prstMaterial="flat">
                <a:contourClr>
                  <a:schemeClr val="accent1">
                    <a:tint val="65000"/>
                    <a:lumMod val="75000"/>
                  </a:schemeClr>
                </a:contourClr>
              </a:sp3d>
            </c:spPr>
            <c:extLst>
              <c:ext xmlns:c16="http://schemas.microsoft.com/office/drawing/2014/chart" uri="{C3380CC4-5D6E-409C-BE32-E72D297353CC}">
                <c16:uniqueId val="{0000000C-CC46-4A63-A64A-58099D833138}"/>
              </c:ext>
            </c:extLst>
          </c:dPt>
          <c:dLbls>
            <c:dLbl>
              <c:idx val="0"/>
              <c:spPr>
                <a:solidFill>
                  <a:sysClr val="window" lastClr="FFFFFF">
                    <a:alpha val="90000"/>
                  </a:sysClr>
                </a:solidFill>
                <a:ln w="12700" cap="flat" cmpd="sng" algn="ctr">
                  <a:solidFill>
                    <a:srgbClr val="156082"/>
                  </a:solidFill>
                  <a:round/>
                </a:ln>
                <a:effectLst>
                  <a:outerShdw blurRad="50800" dist="38100" dir="2700000" algn="tl" rotWithShape="0">
                    <a:srgbClr val="156082">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solidFill>
                      <a:schemeClr val="lt1">
                        <a:alpha val="90000"/>
                      </a:schemeClr>
                    </a:solidFill>
                    <a:ln w="12700" cap="flat" cmpd="sng" algn="ctr">
                      <a:solidFill>
                        <a:schemeClr val="accent1">
                          <a:tint val="30000"/>
                        </a:schemeClr>
                      </a:solidFill>
                      <a:round/>
                    </a:ln>
                  </c15:spPr>
                </c:ext>
                <c:ext xmlns:c16="http://schemas.microsoft.com/office/drawing/2014/chart" uri="{C3380CC4-5D6E-409C-BE32-E72D297353CC}">
                  <c16:uniqueId val="{00000008-CC46-4A63-A64A-58099D833138}"/>
                </c:ext>
              </c:extLst>
            </c:dLbl>
            <c:dLbl>
              <c:idx val="1"/>
              <c:spPr>
                <a:solidFill>
                  <a:sysClr val="window" lastClr="FFFFFF">
                    <a:alpha val="90000"/>
                  </a:sysClr>
                </a:solidFill>
                <a:ln w="12700" cap="flat" cmpd="sng" algn="ctr">
                  <a:solidFill>
                    <a:srgbClr val="156082"/>
                  </a:solidFill>
                  <a:round/>
                </a:ln>
                <a:effectLst>
                  <a:outerShdw blurRad="50800" dist="38100" dir="2700000" algn="tl" rotWithShape="0">
                    <a:srgbClr val="156082">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solidFill>
                      <a:schemeClr val="lt1">
                        <a:alpha val="90000"/>
                      </a:schemeClr>
                    </a:solidFill>
                    <a:ln w="12700" cap="flat" cmpd="sng" algn="ctr">
                      <a:solidFill>
                        <a:schemeClr val="accent1">
                          <a:tint val="30000"/>
                        </a:schemeClr>
                      </a:solidFill>
                      <a:round/>
                    </a:ln>
                  </c15:spPr>
                </c:ext>
                <c:ext xmlns:c16="http://schemas.microsoft.com/office/drawing/2014/chart" uri="{C3380CC4-5D6E-409C-BE32-E72D297353CC}">
                  <c16:uniqueId val="{0000000A-CC46-4A63-A64A-58099D833138}"/>
                </c:ext>
              </c:extLst>
            </c:dLbl>
            <c:dLbl>
              <c:idx val="2"/>
              <c:spPr>
                <a:solidFill>
                  <a:sysClr val="window" lastClr="FFFFFF">
                    <a:alpha val="90000"/>
                  </a:sysClr>
                </a:solidFill>
                <a:ln w="12700" cap="flat" cmpd="sng" algn="ctr">
                  <a:solidFill>
                    <a:srgbClr val="156082"/>
                  </a:solidFill>
                  <a:round/>
                </a:ln>
                <a:effectLst>
                  <a:outerShdw blurRad="50800" dist="38100" dir="2700000" algn="tl" rotWithShape="0">
                    <a:srgbClr val="156082">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solidFill>
                      <a:schemeClr val="lt1">
                        <a:alpha val="90000"/>
                      </a:schemeClr>
                    </a:solidFill>
                    <a:ln w="12700" cap="flat" cmpd="sng" algn="ctr">
                      <a:solidFill>
                        <a:schemeClr val="accent1">
                          <a:tint val="30000"/>
                        </a:schemeClr>
                      </a:solidFill>
                      <a:round/>
                    </a:ln>
                  </c15:spPr>
                </c:ext>
                <c:ext xmlns:c16="http://schemas.microsoft.com/office/drawing/2014/chart" uri="{C3380CC4-5D6E-409C-BE32-E72D297353CC}">
                  <c16:uniqueId val="{0000000C-CC46-4A63-A64A-58099D833138}"/>
                </c:ext>
              </c:extLst>
            </c:dLbl>
            <c:spPr>
              <a:solidFill>
                <a:sysClr val="window" lastClr="FFFFFF">
                  <a:alpha val="90000"/>
                </a:sysClr>
              </a:solidFill>
              <a:ln w="12700" cap="flat" cmpd="sng" algn="ctr">
                <a:solidFill>
                  <a:srgbClr val="156082"/>
                </a:solidFill>
                <a:round/>
              </a:ln>
              <a:effectLst>
                <a:outerShdw blurRad="50800" dist="38100" dir="2700000" algn="tl" rotWithShape="0">
                  <a:srgbClr val="156082">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solidFill>
                    <a:schemeClr val="lt1">
                      <a:alpha val="90000"/>
                    </a:schemeClr>
                  </a:solidFill>
                  <a:ln w="12700" cap="flat" cmpd="sng" algn="ctr">
                    <a:solidFill>
                      <a:schemeClr val="accent1">
                        <a:tint val="30000"/>
                      </a:schemeClr>
                    </a:solidFill>
                    <a:round/>
                  </a:ln>
                </c15:spPr>
              </c:ext>
            </c:extLst>
          </c:dLbls>
          <c:cat>
            <c:strRef>
              <c:f>'Rating Category'!$A$4:$A$7</c:f>
              <c:strCache>
                <c:ptCount val="3"/>
                <c:pt idx="0">
                  <c:v>Average</c:v>
                </c:pt>
                <c:pt idx="1">
                  <c:v>Excellent</c:v>
                </c:pt>
                <c:pt idx="2">
                  <c:v>Poor</c:v>
                </c:pt>
              </c:strCache>
            </c:strRef>
          </c:cat>
          <c:val>
            <c:numRef>
              <c:f>'Rating Category'!$C$4:$C$7</c:f>
              <c:numCache>
                <c:formatCode>0.0</c:formatCode>
                <c:ptCount val="3"/>
                <c:pt idx="0">
                  <c:v>10.136363636363637</c:v>
                </c:pt>
                <c:pt idx="1">
                  <c:v>14.954545454545455</c:v>
                </c:pt>
                <c:pt idx="2">
                  <c:v>14.083333333333334</c:v>
                </c:pt>
              </c:numCache>
            </c:numRef>
          </c:val>
          <c:extLst>
            <c:ext xmlns:c16="http://schemas.microsoft.com/office/drawing/2014/chart" uri="{C3380CC4-5D6E-409C-BE32-E72D297353CC}">
              <c16:uniqueId val="{0000000D-CC46-4A63-A64A-58099D833138}"/>
            </c:ext>
          </c:extLst>
        </c:ser>
        <c:ser>
          <c:idx val="2"/>
          <c:order val="2"/>
          <c:tx>
            <c:strRef>
              <c:f>'Rating Category'!$D$3</c:f>
              <c:strCache>
                <c:ptCount val="1"/>
                <c:pt idx="0">
                  <c:v>Average of Ratings</c:v>
                </c:pt>
              </c:strCache>
            </c:strRef>
          </c:tx>
          <c:dPt>
            <c:idx val="0"/>
            <c:bubble3D val="0"/>
            <c:spPr>
              <a:solidFill>
                <a:schemeClr val="accent1">
                  <a:shade val="65000"/>
                  <a:alpha val="90000"/>
                </a:schemeClr>
              </a:solidFill>
              <a:ln w="19050">
                <a:solidFill>
                  <a:schemeClr val="accent1">
                    <a:shade val="65000"/>
                    <a:lumMod val="75000"/>
                  </a:schemeClr>
                </a:solidFill>
              </a:ln>
              <a:effectLst>
                <a:innerShdw blurRad="114300">
                  <a:schemeClr val="accent1">
                    <a:shade val="65000"/>
                    <a:lumMod val="75000"/>
                  </a:schemeClr>
                </a:innerShdw>
              </a:effectLst>
              <a:scene3d>
                <a:camera prst="orthographicFront"/>
                <a:lightRig rig="threePt" dir="t"/>
              </a:scene3d>
              <a:sp3d contourW="19050" prstMaterial="flat">
                <a:contourClr>
                  <a:schemeClr val="accent1">
                    <a:shade val="65000"/>
                    <a:lumMod val="75000"/>
                  </a:schemeClr>
                </a:contourClr>
              </a:sp3d>
            </c:spPr>
            <c:extLst>
              <c:ext xmlns:c16="http://schemas.microsoft.com/office/drawing/2014/chart" uri="{C3380CC4-5D6E-409C-BE32-E72D297353CC}">
                <c16:uniqueId val="{0000000F-CC46-4A63-A64A-58099D833138}"/>
              </c:ext>
            </c:extLst>
          </c:dPt>
          <c:dPt>
            <c:idx val="1"/>
            <c:bubble3D val="0"/>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extLst>
              <c:ext xmlns:c16="http://schemas.microsoft.com/office/drawing/2014/chart" uri="{C3380CC4-5D6E-409C-BE32-E72D297353CC}">
                <c16:uniqueId val="{00000011-CC46-4A63-A64A-58099D833138}"/>
              </c:ext>
            </c:extLst>
          </c:dPt>
          <c:dPt>
            <c:idx val="2"/>
            <c:bubble3D val="0"/>
            <c:spPr>
              <a:solidFill>
                <a:schemeClr val="accent1">
                  <a:tint val="65000"/>
                  <a:alpha val="90000"/>
                </a:schemeClr>
              </a:solidFill>
              <a:ln w="19050">
                <a:solidFill>
                  <a:schemeClr val="accent1">
                    <a:tint val="65000"/>
                    <a:lumMod val="75000"/>
                  </a:schemeClr>
                </a:solidFill>
              </a:ln>
              <a:effectLst>
                <a:innerShdw blurRad="114300">
                  <a:schemeClr val="accent1">
                    <a:tint val="65000"/>
                    <a:lumMod val="75000"/>
                  </a:schemeClr>
                </a:innerShdw>
              </a:effectLst>
              <a:scene3d>
                <a:camera prst="orthographicFront"/>
                <a:lightRig rig="threePt" dir="t"/>
              </a:scene3d>
              <a:sp3d contourW="19050" prstMaterial="flat">
                <a:contourClr>
                  <a:schemeClr val="accent1">
                    <a:tint val="65000"/>
                    <a:lumMod val="75000"/>
                  </a:schemeClr>
                </a:contourClr>
              </a:sp3d>
            </c:spPr>
            <c:extLst>
              <c:ext xmlns:c16="http://schemas.microsoft.com/office/drawing/2014/chart" uri="{C3380CC4-5D6E-409C-BE32-E72D297353CC}">
                <c16:uniqueId val="{00000013-CC46-4A63-A64A-58099D833138}"/>
              </c:ext>
            </c:extLst>
          </c:dPt>
          <c:dLbls>
            <c:dLbl>
              <c:idx val="0"/>
              <c:spPr>
                <a:solidFill>
                  <a:sysClr val="window" lastClr="FFFFFF">
                    <a:alpha val="90000"/>
                  </a:sysClr>
                </a:solidFill>
                <a:ln w="12700" cap="flat" cmpd="sng" algn="ctr">
                  <a:solidFill>
                    <a:srgbClr val="156082">
                      <a:tint val="65000"/>
                    </a:srgbClr>
                  </a:solidFill>
                  <a:round/>
                </a:ln>
                <a:effectLst>
                  <a:outerShdw blurRad="50800" dist="38100" dir="2700000" algn="tl" rotWithShape="0">
                    <a:srgbClr val="156082">
                      <a:tint val="65000"/>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tint val="65000"/>
                        </a:schemeClr>
                      </a:solidFill>
                      <a:effectLst/>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solidFill>
                      <a:schemeClr val="lt1">
                        <a:alpha val="90000"/>
                      </a:schemeClr>
                    </a:solidFill>
                    <a:ln w="12700" cap="flat" cmpd="sng" algn="ctr">
                      <a:solidFill>
                        <a:schemeClr val="accent1">
                          <a:tint val="30000"/>
                        </a:schemeClr>
                      </a:solidFill>
                      <a:round/>
                    </a:ln>
                  </c15:spPr>
                </c:ext>
                <c:ext xmlns:c16="http://schemas.microsoft.com/office/drawing/2014/chart" uri="{C3380CC4-5D6E-409C-BE32-E72D297353CC}">
                  <c16:uniqueId val="{0000000F-CC46-4A63-A64A-58099D833138}"/>
                </c:ext>
              </c:extLst>
            </c:dLbl>
            <c:dLbl>
              <c:idx val="1"/>
              <c:spPr>
                <a:solidFill>
                  <a:sysClr val="window" lastClr="FFFFFF">
                    <a:alpha val="90000"/>
                  </a:sysClr>
                </a:solidFill>
                <a:ln w="12700" cap="flat" cmpd="sng" algn="ctr">
                  <a:solidFill>
                    <a:srgbClr val="156082">
                      <a:tint val="65000"/>
                    </a:srgbClr>
                  </a:solidFill>
                  <a:round/>
                </a:ln>
                <a:effectLst>
                  <a:outerShdw blurRad="50800" dist="38100" dir="2700000" algn="tl" rotWithShape="0">
                    <a:srgbClr val="156082">
                      <a:tint val="65000"/>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tint val="65000"/>
                        </a:schemeClr>
                      </a:solidFill>
                      <a:effectLst/>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solidFill>
                      <a:schemeClr val="lt1">
                        <a:alpha val="90000"/>
                      </a:schemeClr>
                    </a:solidFill>
                    <a:ln w="12700" cap="flat" cmpd="sng" algn="ctr">
                      <a:solidFill>
                        <a:schemeClr val="accent1">
                          <a:tint val="30000"/>
                        </a:schemeClr>
                      </a:solidFill>
                      <a:round/>
                    </a:ln>
                  </c15:spPr>
                </c:ext>
                <c:ext xmlns:c16="http://schemas.microsoft.com/office/drawing/2014/chart" uri="{C3380CC4-5D6E-409C-BE32-E72D297353CC}">
                  <c16:uniqueId val="{00000011-CC46-4A63-A64A-58099D833138}"/>
                </c:ext>
              </c:extLst>
            </c:dLbl>
            <c:dLbl>
              <c:idx val="2"/>
              <c:spPr>
                <a:solidFill>
                  <a:sysClr val="window" lastClr="FFFFFF">
                    <a:alpha val="90000"/>
                  </a:sysClr>
                </a:solidFill>
                <a:ln w="12700" cap="flat" cmpd="sng" algn="ctr">
                  <a:solidFill>
                    <a:srgbClr val="156082">
                      <a:tint val="65000"/>
                    </a:srgbClr>
                  </a:solidFill>
                  <a:round/>
                </a:ln>
                <a:effectLst>
                  <a:outerShdw blurRad="50800" dist="38100" dir="2700000" algn="tl" rotWithShape="0">
                    <a:srgbClr val="156082">
                      <a:tint val="65000"/>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tint val="65000"/>
                        </a:schemeClr>
                      </a:solidFill>
                      <a:effectLst/>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solidFill>
                      <a:schemeClr val="lt1">
                        <a:alpha val="90000"/>
                      </a:schemeClr>
                    </a:solidFill>
                    <a:ln w="12700" cap="flat" cmpd="sng" algn="ctr">
                      <a:solidFill>
                        <a:schemeClr val="accent1">
                          <a:tint val="30000"/>
                        </a:schemeClr>
                      </a:solidFill>
                      <a:round/>
                    </a:ln>
                  </c15:spPr>
                </c:ext>
                <c:ext xmlns:c16="http://schemas.microsoft.com/office/drawing/2014/chart" uri="{C3380CC4-5D6E-409C-BE32-E72D297353CC}">
                  <c16:uniqueId val="{00000013-CC46-4A63-A64A-58099D833138}"/>
                </c:ext>
              </c:extLst>
            </c:dLbl>
            <c:spPr>
              <a:solidFill>
                <a:sysClr val="window" lastClr="FFFFFF">
                  <a:alpha val="90000"/>
                </a:sysClr>
              </a:solidFill>
              <a:ln w="12700" cap="flat" cmpd="sng" algn="ctr">
                <a:solidFill>
                  <a:srgbClr val="156082">
                    <a:tint val="65000"/>
                  </a:srgbClr>
                </a:solidFill>
                <a:round/>
              </a:ln>
              <a:effectLst>
                <a:outerShdw blurRad="50800" dist="38100" dir="2700000" algn="tl" rotWithShape="0">
                  <a:srgbClr val="156082">
                    <a:tint val="65000"/>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tint val="65000"/>
                      </a:schemeClr>
                    </a:solidFill>
                    <a:effectLst/>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solidFill>
                    <a:schemeClr val="lt1">
                      <a:alpha val="90000"/>
                    </a:schemeClr>
                  </a:solidFill>
                  <a:ln w="12700" cap="flat" cmpd="sng" algn="ctr">
                    <a:solidFill>
                      <a:schemeClr val="accent1">
                        <a:tint val="30000"/>
                      </a:schemeClr>
                    </a:solidFill>
                    <a:round/>
                  </a:ln>
                </c15:spPr>
              </c:ext>
            </c:extLst>
          </c:dLbls>
          <c:cat>
            <c:strRef>
              <c:f>'Rating Category'!$A$4:$A$7</c:f>
              <c:strCache>
                <c:ptCount val="3"/>
                <c:pt idx="0">
                  <c:v>Average</c:v>
                </c:pt>
                <c:pt idx="1">
                  <c:v>Excellent</c:v>
                </c:pt>
                <c:pt idx="2">
                  <c:v>Poor</c:v>
                </c:pt>
              </c:strCache>
            </c:strRef>
          </c:cat>
          <c:val>
            <c:numRef>
              <c:f>'Rating Category'!$D$4:$D$7</c:f>
              <c:numCache>
                <c:formatCode>0.0</c:formatCode>
                <c:ptCount val="3"/>
                <c:pt idx="0">
                  <c:v>3.8090909090909091</c:v>
                </c:pt>
                <c:pt idx="1">
                  <c:v>4.7590909090909079</c:v>
                </c:pt>
                <c:pt idx="2">
                  <c:v>2.3916666666666666</c:v>
                </c:pt>
              </c:numCache>
            </c:numRef>
          </c:val>
          <c:extLst>
            <c:ext xmlns:c16="http://schemas.microsoft.com/office/drawing/2014/chart" uri="{C3380CC4-5D6E-409C-BE32-E72D297353CC}">
              <c16:uniqueId val="{00000014-CC46-4A63-A64A-58099D833138}"/>
            </c:ext>
          </c:extLst>
        </c:ser>
        <c:dLbls>
          <c:showLegendKey val="0"/>
          <c:showVal val="0"/>
          <c:showCatName val="0"/>
          <c:showSerName val="0"/>
          <c:showPercent val="0"/>
          <c:showBubbleSize val="0"/>
          <c:showLeaderLines val="0"/>
        </c:dLbls>
      </c:pie3D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[Jumia Excel Dataset.xlsx]Discount Category!PivotTable3</c:name>
    <c:fmtId val="9"/>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US"/>
              <a:t>Discount Category</a:t>
            </a:r>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pattFill prst="ltUpDiag">
            <a:fgClr>
              <a:schemeClr val="accent1">
                <a:shade val="65000"/>
              </a:schemeClr>
            </a:fgClr>
            <a:bgClr>
              <a:schemeClr val="accent1">
                <a:shade val="65000"/>
                <a:lumMod val="20000"/>
                <a:lumOff val="80000"/>
              </a:schemeClr>
            </a:bgClr>
          </a:pattFill>
          <a:ln w="19050">
            <a:solidFill>
              <a:schemeClr val="lt1"/>
            </a:solidFill>
          </a:ln>
          <a:effectLst>
            <a:innerShdw blurRad="114300">
              <a:schemeClr val="accent1">
                <a:shade val="65000"/>
              </a:schemeClr>
            </a:innerShdw>
          </a:effectLst>
        </c:spPr>
      </c:pivotFmt>
      <c:pivotFmt>
        <c:idx val="3"/>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4"/>
        <c:spPr>
          <a:pattFill prst="ltUpDiag">
            <a:fgClr>
              <a:schemeClr val="accent1">
                <a:tint val="65000"/>
              </a:schemeClr>
            </a:fgClr>
            <a:bgClr>
              <a:schemeClr val="accent1">
                <a:tint val="65000"/>
                <a:lumMod val="20000"/>
                <a:lumOff val="80000"/>
              </a:schemeClr>
            </a:bgClr>
          </a:pattFill>
          <a:ln w="19050">
            <a:solidFill>
              <a:schemeClr val="lt1"/>
            </a:solidFill>
          </a:ln>
          <a:effectLst>
            <a:innerShdw blurRad="114300">
              <a:schemeClr val="accent1">
                <a:tint val="65000"/>
              </a:schemeClr>
            </a:innerShdw>
          </a:effectLst>
        </c:spPr>
      </c:pivotFmt>
      <c:pivotFmt>
        <c:idx val="5"/>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pattFill prst="ltUpDiag">
            <a:fgClr>
              <a:schemeClr val="accent1">
                <a:shade val="65000"/>
              </a:schemeClr>
            </a:fgClr>
            <a:bgClr>
              <a:schemeClr val="accent1">
                <a:shade val="65000"/>
                <a:lumMod val="20000"/>
                <a:lumOff val="80000"/>
              </a:schemeClr>
            </a:bgClr>
          </a:pattFill>
          <a:ln w="19050">
            <a:solidFill>
              <a:schemeClr val="lt1"/>
            </a:solidFill>
          </a:ln>
          <a:effectLst>
            <a:innerShdw blurRad="114300">
              <a:schemeClr val="accent1">
                <a:shade val="65000"/>
              </a:schemeClr>
            </a:innerShdw>
          </a:effectLst>
        </c:spPr>
      </c:pivotFmt>
      <c:pivotFmt>
        <c:idx val="7"/>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8"/>
        <c:spPr>
          <a:pattFill prst="ltUpDiag">
            <a:fgClr>
              <a:schemeClr val="accent1">
                <a:tint val="65000"/>
              </a:schemeClr>
            </a:fgClr>
            <a:bgClr>
              <a:schemeClr val="accent1">
                <a:tint val="65000"/>
                <a:lumMod val="20000"/>
                <a:lumOff val="80000"/>
              </a:schemeClr>
            </a:bgClr>
          </a:pattFill>
          <a:ln w="19050">
            <a:solidFill>
              <a:schemeClr val="lt1"/>
            </a:solidFill>
          </a:ln>
          <a:effectLst>
            <a:innerShdw blurRad="114300">
              <a:schemeClr val="accent1">
                <a:tint val="65000"/>
              </a:schemeClr>
            </a:innerShdw>
          </a:effectLst>
        </c:spPr>
      </c:pivotFmt>
      <c:pivotFmt>
        <c:idx val="9"/>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pattFill prst="ltUpDiag">
            <a:fgClr>
              <a:schemeClr val="accent1">
                <a:shade val="65000"/>
              </a:schemeClr>
            </a:fgClr>
            <a:bgClr>
              <a:schemeClr val="accent1">
                <a:shade val="65000"/>
                <a:lumMod val="20000"/>
                <a:lumOff val="80000"/>
              </a:schemeClr>
            </a:bgClr>
          </a:pattFill>
          <a:ln w="19050">
            <a:solidFill>
              <a:schemeClr val="lt1"/>
            </a:solidFill>
          </a:ln>
          <a:effectLst>
            <a:innerShdw blurRad="114300">
              <a:schemeClr val="accent1">
                <a:shade val="65000"/>
              </a:schemeClr>
            </a:innerShdw>
          </a:effectLst>
        </c:spPr>
      </c:pivotFmt>
      <c:pivotFmt>
        <c:idx val="11"/>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2"/>
        <c:spPr>
          <a:pattFill prst="ltUpDiag">
            <a:fgClr>
              <a:schemeClr val="accent1">
                <a:tint val="65000"/>
              </a:schemeClr>
            </a:fgClr>
            <a:bgClr>
              <a:schemeClr val="accent1">
                <a:tint val="65000"/>
                <a:lumMod val="20000"/>
                <a:lumOff val="80000"/>
              </a:schemeClr>
            </a:bgClr>
          </a:pattFill>
          <a:ln w="19050">
            <a:solidFill>
              <a:schemeClr val="lt1"/>
            </a:solidFill>
          </a:ln>
          <a:effectLst>
            <a:innerShdw blurRad="114300">
              <a:schemeClr val="accent1">
                <a:tint val="65000"/>
              </a:schemeClr>
            </a:innerShdw>
          </a:effectLst>
        </c:spPr>
      </c:pivotFmt>
      <c:pivotFmt>
        <c:idx val="13"/>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pattFill prst="ltUpDiag">
            <a:fgClr>
              <a:schemeClr val="accent1">
                <a:shade val="65000"/>
              </a:schemeClr>
            </a:fgClr>
            <a:bgClr>
              <a:schemeClr val="accent1">
                <a:shade val="65000"/>
                <a:lumMod val="20000"/>
                <a:lumOff val="80000"/>
              </a:schemeClr>
            </a:bgClr>
          </a:pattFill>
          <a:ln w="19050">
            <a:solidFill>
              <a:schemeClr val="lt1"/>
            </a:solidFill>
          </a:ln>
          <a:effectLst>
            <a:innerShdw blurRad="114300">
              <a:schemeClr val="accent1">
                <a:shade val="65000"/>
              </a:schemeClr>
            </a:innerShdw>
          </a:effectLst>
        </c:spPr>
      </c:pivotFmt>
      <c:pivotFmt>
        <c:idx val="15"/>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6"/>
        <c:spPr>
          <a:pattFill prst="ltUpDiag">
            <a:fgClr>
              <a:schemeClr val="accent1">
                <a:tint val="65000"/>
              </a:schemeClr>
            </a:fgClr>
            <a:bgClr>
              <a:schemeClr val="accent1">
                <a:tint val="65000"/>
                <a:lumMod val="20000"/>
                <a:lumOff val="80000"/>
              </a:schemeClr>
            </a:bgClr>
          </a:pattFill>
          <a:ln w="19050">
            <a:solidFill>
              <a:schemeClr val="lt1"/>
            </a:solidFill>
          </a:ln>
          <a:effectLst>
            <a:innerShdw blurRad="114300">
              <a:schemeClr val="accent1">
                <a:tint val="65000"/>
              </a:schemeClr>
            </a:innerShdw>
          </a:effectLst>
        </c:spPr>
      </c:pivotFmt>
    </c:pivotFmts>
    <c:plotArea>
      <c:layout/>
      <c:doughnutChart>
        <c:varyColors val="1"/>
        <c:ser>
          <c:idx val="0"/>
          <c:order val="0"/>
          <c:tx>
            <c:strRef>
              <c:f>'Discount Category'!$B$3</c:f>
              <c:strCache>
                <c:ptCount val="1"/>
                <c:pt idx="0">
                  <c:v>Total</c:v>
                </c:pt>
              </c:strCache>
            </c:strRef>
          </c:tx>
          <c:dPt>
            <c:idx val="0"/>
            <c:bubble3D val="0"/>
            <c:spPr>
              <a:pattFill prst="ltUpDiag">
                <a:fgClr>
                  <a:schemeClr val="accent1">
                    <a:shade val="65000"/>
                  </a:schemeClr>
                </a:fgClr>
                <a:bgClr>
                  <a:schemeClr val="accent1">
                    <a:shade val="65000"/>
                    <a:lumMod val="20000"/>
                    <a:lumOff val="80000"/>
                  </a:schemeClr>
                </a:bgClr>
              </a:pattFill>
              <a:ln w="19050">
                <a:solidFill>
                  <a:schemeClr val="lt1"/>
                </a:solidFill>
              </a:ln>
              <a:effectLst>
                <a:innerShdw blurRad="114300">
                  <a:schemeClr val="accent1">
                    <a:shade val="65000"/>
                  </a:schemeClr>
                </a:innerShdw>
              </a:effectLst>
            </c:spPr>
            <c:extLst>
              <c:ext xmlns:c16="http://schemas.microsoft.com/office/drawing/2014/chart" uri="{C3380CC4-5D6E-409C-BE32-E72D297353CC}">
                <c16:uniqueId val="{00000001-7EBB-4183-86C8-E2EDB65118F5}"/>
              </c:ext>
            </c:extLst>
          </c:dPt>
          <c:dPt>
            <c:idx val="1"/>
            <c:bubble3D val="0"/>
            <c:spPr>
              <a:pattFill prst="ltUpDiag">
                <a:fgClr>
                  <a:schemeClr val="accent1">
                    <a:tint val="65000"/>
                  </a:schemeClr>
                </a:fgClr>
                <a:bgClr>
                  <a:schemeClr val="accent1">
                    <a:tint val="65000"/>
                    <a:lumMod val="20000"/>
                    <a:lumOff val="80000"/>
                  </a:schemeClr>
                </a:bgClr>
              </a:pattFill>
              <a:ln w="19050">
                <a:solidFill>
                  <a:schemeClr val="lt1"/>
                </a:solidFill>
              </a:ln>
              <a:effectLst>
                <a:innerShdw blurRad="114300">
                  <a:schemeClr val="accent1">
                    <a:tint val="65000"/>
                  </a:schemeClr>
                </a:innerShdw>
              </a:effectLst>
            </c:spPr>
            <c:extLst>
              <c:ext xmlns:c16="http://schemas.microsoft.com/office/drawing/2014/chart" uri="{C3380CC4-5D6E-409C-BE32-E72D297353CC}">
                <c16:uniqueId val="{00000003-7EBB-4183-86C8-E2EDB65118F5}"/>
              </c:ext>
            </c:extLst>
          </c:dPt>
          <c:dPt>
            <c:idx val="2"/>
            <c:bubble3D val="0"/>
            <c:spPr>
              <a:pattFill prst="ltUpDiag">
                <a:fgClr>
                  <a:schemeClr val="accent1">
                    <a:tint val="30000"/>
                  </a:schemeClr>
                </a:fgClr>
                <a:bgClr>
                  <a:schemeClr val="accent1">
                    <a:tint val="30000"/>
                    <a:lumMod val="20000"/>
                    <a:lumOff val="80000"/>
                  </a:schemeClr>
                </a:bgClr>
              </a:pattFill>
              <a:ln w="19050">
                <a:solidFill>
                  <a:schemeClr val="lt1"/>
                </a:solidFill>
              </a:ln>
              <a:effectLst>
                <a:innerShdw blurRad="114300">
                  <a:schemeClr val="accent1">
                    <a:tint val="30000"/>
                  </a:schemeClr>
                </a:innerShdw>
              </a:effectLst>
            </c:spPr>
            <c:extLst>
              <c:ext xmlns:c16="http://schemas.microsoft.com/office/drawing/2014/chart" uri="{C3380CC4-5D6E-409C-BE32-E72D297353CC}">
                <c16:uniqueId val="{00000005-7EBB-4183-86C8-E2EDB65118F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'Discount Category'!$A$4:$A$6</c:f>
              <c:strCache>
                <c:ptCount val="2"/>
                <c:pt idx="0">
                  <c:v>High Discount</c:v>
                </c:pt>
                <c:pt idx="1">
                  <c:v>Medium Discount</c:v>
                </c:pt>
              </c:strCache>
            </c:strRef>
          </c:cat>
          <c:val>
            <c:numRef>
              <c:f>'Discount Category'!$B$4:$B$6</c:f>
              <c:numCache>
                <c:formatCode>General</c:formatCode>
                <c:ptCount val="2"/>
                <c:pt idx="0">
                  <c:v>1</c:v>
                </c:pt>
                <c:pt idx="1">
                  <c:v>5</c:v>
                </c:pt>
              </c:numCache>
            </c:numRef>
          </c:val>
          <c:extLst>
            <c:ext xmlns:c16="http://schemas.microsoft.com/office/drawing/2014/chart" uri="{C3380CC4-5D6E-409C-BE32-E72D297353CC}">
              <c16:uniqueId val="{00000006-7EBB-4183-86C8-E2EDB65118F5}"/>
            </c:ext>
          </c:extLst>
        </c:ser>
        <c:dLbls>
          <c:showLegendKey val="0"/>
          <c:showVal val="1"/>
          <c:showCatName val="0"/>
          <c:showSerName val="0"/>
          <c:showPercent val="0"/>
          <c:showBubbleSize val="0"/>
          <c:showLeaderLines val="1"/>
        </c:dLbls>
        <c:firstSliceAng val="0"/>
        <c:holeSize val="7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[Jumia Excel Dataset.xlsx]Data Analysis!PivotTable12</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Rating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'Data Analysis'!$B$13</c:f>
              <c:strCache>
                <c:ptCount val="1"/>
                <c:pt idx="0">
                  <c:v>Count of Product</c:v>
                </c:pt>
              </c:strCache>
            </c:strRef>
          </c:tx>
          <c:spPr>
            <a:solidFill>
              <a:schemeClr val="accent1">
                <a:shade val="65000"/>
              </a:schemeClr>
            </a:solidFill>
            <a:ln>
              <a:noFill/>
            </a:ln>
            <a:effectLst/>
          </c:spPr>
          <c:invertIfNegative val="0"/>
          <c:cat>
            <c:strRef>
              <c:f>'Data Analysis'!$A$14:$A$17</c:f>
              <c:strCache>
                <c:ptCount val="3"/>
                <c:pt idx="0">
                  <c:v>Average</c:v>
                </c:pt>
                <c:pt idx="1">
                  <c:v>Excellent</c:v>
                </c:pt>
                <c:pt idx="2">
                  <c:v>Poor</c:v>
                </c:pt>
              </c:strCache>
            </c:strRef>
          </c:cat>
          <c:val>
            <c:numRef>
              <c:f>'Data Analysis'!$B$14:$B$17</c:f>
              <c:numCache>
                <c:formatCode>#,##0.00</c:formatCode>
                <c:ptCount val="3"/>
                <c:pt idx="0">
                  <c:v>22</c:v>
                </c:pt>
                <c:pt idx="1">
                  <c:v>22</c:v>
                </c:pt>
                <c:pt idx="2">
                  <c:v>12</c:v>
                </c:pt>
              </c:numCache>
            </c:numRef>
          </c:val>
          <c:extLst>
            <c:ext xmlns:c16="http://schemas.microsoft.com/office/drawing/2014/chart" uri="{C3380CC4-5D6E-409C-BE32-E72D297353CC}">
              <c16:uniqueId val="{00000000-3D6D-4AF6-BBA7-6C8236CC22DF}"/>
            </c:ext>
          </c:extLst>
        </c:ser>
        <c:ser>
          <c:idx val="1"/>
          <c:order val="1"/>
          <c:tx>
            <c:strRef>
              <c:f>'Data Analysis'!$C$13</c:f>
              <c:strCache>
                <c:ptCount val="1"/>
                <c:pt idx="0">
                  <c:v>Average of Review</c:v>
                </c:pt>
              </c:strCache>
            </c:strRef>
          </c:tx>
          <c:spPr>
            <a:solidFill>
              <a:schemeClr val="accent1"/>
            </a:solidFill>
            <a:ln>
              <a:noFill/>
            </a:ln>
            <a:effectLst/>
          </c:spPr>
          <c:invertIfNegative val="0"/>
          <c:cat>
            <c:strRef>
              <c:f>'Data Analysis'!$A$14:$A$17</c:f>
              <c:strCache>
                <c:ptCount val="3"/>
                <c:pt idx="0">
                  <c:v>Average</c:v>
                </c:pt>
                <c:pt idx="1">
                  <c:v>Excellent</c:v>
                </c:pt>
                <c:pt idx="2">
                  <c:v>Poor</c:v>
                </c:pt>
              </c:strCache>
            </c:strRef>
          </c:cat>
          <c:val>
            <c:numRef>
              <c:f>'Data Analysis'!$C$14:$C$17</c:f>
              <c:numCache>
                <c:formatCode>0.0</c:formatCode>
                <c:ptCount val="3"/>
                <c:pt idx="0">
                  <c:v>10.136363636363637</c:v>
                </c:pt>
                <c:pt idx="1">
                  <c:v>14.954545454545455</c:v>
                </c:pt>
                <c:pt idx="2">
                  <c:v>14.083333333333334</c:v>
                </c:pt>
              </c:numCache>
            </c:numRef>
          </c:val>
          <c:extLst>
            <c:ext xmlns:c16="http://schemas.microsoft.com/office/drawing/2014/chart" uri="{C3380CC4-5D6E-409C-BE32-E72D297353CC}">
              <c16:uniqueId val="{00000001-3D6D-4AF6-BBA7-6C8236CC22DF}"/>
            </c:ext>
          </c:extLst>
        </c:ser>
        <c:ser>
          <c:idx val="2"/>
          <c:order val="2"/>
          <c:tx>
            <c:strRef>
              <c:f>'Data Analysis'!$D$13</c:f>
              <c:strCache>
                <c:ptCount val="1"/>
                <c:pt idx="0">
                  <c:v>Average of Ratings</c:v>
                </c:pt>
              </c:strCache>
            </c:strRef>
          </c:tx>
          <c:spPr>
            <a:solidFill>
              <a:schemeClr val="accent1">
                <a:tint val="65000"/>
              </a:schemeClr>
            </a:solidFill>
            <a:ln>
              <a:noFill/>
            </a:ln>
            <a:effectLst/>
          </c:spPr>
          <c:invertIfNegative val="0"/>
          <c:cat>
            <c:strRef>
              <c:f>'Data Analysis'!$A$14:$A$17</c:f>
              <c:strCache>
                <c:ptCount val="3"/>
                <c:pt idx="0">
                  <c:v>Average</c:v>
                </c:pt>
                <c:pt idx="1">
                  <c:v>Excellent</c:v>
                </c:pt>
                <c:pt idx="2">
                  <c:v>Poor</c:v>
                </c:pt>
              </c:strCache>
            </c:strRef>
          </c:cat>
          <c:val>
            <c:numRef>
              <c:f>'Data Analysis'!$D$14:$D$17</c:f>
              <c:numCache>
                <c:formatCode>0.0</c:formatCode>
                <c:ptCount val="3"/>
                <c:pt idx="0">
                  <c:v>3.8090909090909091</c:v>
                </c:pt>
                <c:pt idx="1">
                  <c:v>4.7590909090909079</c:v>
                </c:pt>
                <c:pt idx="2">
                  <c:v>2.3916666666666666</c:v>
                </c:pt>
              </c:numCache>
            </c:numRef>
          </c:val>
          <c:extLst>
            <c:ext xmlns:c16="http://schemas.microsoft.com/office/drawing/2014/chart" uri="{C3380CC4-5D6E-409C-BE32-E72D297353CC}">
              <c16:uniqueId val="{00000002-3D6D-4AF6-BBA7-6C8236CC22DF}"/>
            </c:ext>
          </c:extLst>
        </c:ser>
        <c:dLbls>
          <c:showLegendKey val="0"/>
          <c:showVal val="0"/>
          <c:showCatName val="0"/>
          <c:showSerName val="0"/>
          <c:showPercent val="0"/>
          <c:showBubbleSize val="0"/>
        </c:dLbls>
        <c:gapWidth val="219"/>
        <c:overlap val="-27"/>
        <c:axId val="16709311"/>
        <c:axId val="16704991"/>
      </c:barChart>
      <c:catAx>
        <c:axId val="167093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04991"/>
        <c:crosses val="autoZero"/>
        <c:auto val="1"/>
        <c:lblAlgn val="ctr"/>
        <c:lblOffset val="100"/>
        <c:noMultiLvlLbl val="0"/>
      </c:catAx>
      <c:valAx>
        <c:axId val="16704991"/>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093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t>Top 10 Products</a:t>
            </a:r>
            <a:r>
              <a:rPr lang="en-US" sz="1800" b="1" baseline="0"/>
              <a:t> by Discount</a:t>
            </a:r>
            <a:endParaRPr lang="en-US" sz="18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'Data Analysis'!$F$28</c:f>
              <c:strCache>
                <c:ptCount val="1"/>
                <c:pt idx="0">
                  <c:v>Discount %</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 Analysis'!$E$29:$E$38</c:f>
              <c:strCache>
                <c:ptCount val="10"/>
                <c:pt idx="0">
                  <c:v>6 In 1 Bottle Can Opener Multifunctional Easy Opener</c:v>
                </c:pt>
                <c:pt idx="1">
                  <c:v>Creative Owl Shape Keychain Black</c:v>
                </c:pt>
                <c:pt idx="2">
                  <c:v>LASA FOLDING TABLE SERVING STAND</c:v>
                </c:pt>
                <c:pt idx="3">
                  <c:v>5-PCS Stainless Steel Cooking Pot Set With Steamed Slices</c:v>
                </c:pt>
                <c:pt idx="4">
                  <c:v>Simple Metal Dog Art Sculpture Decoration For Home Office</c:v>
                </c:pt>
                <c:pt idx="5">
                  <c:v>LASA 3 Tier Bamboo Shoe Bench Storage Shelf</c:v>
                </c:pt>
                <c:pt idx="6">
                  <c:v>Mythco 120COB Solar Wall Ligt With Motion Sensor And Remote Control 3 Modes</c:v>
                </c:pt>
                <c:pt idx="7">
                  <c:v>3PCS Single Head Knitting Crochet Sweater Needle Set</c:v>
                </c:pt>
                <c:pt idx="8">
                  <c:v>Classic Black Cat Cotton Hemp Pillow Case For Home Car</c:v>
                </c:pt>
                <c:pt idx="9">
                  <c:v>Exfoliate And Exfoliate Face Towel - Black</c:v>
                </c:pt>
              </c:strCache>
            </c:strRef>
          </c:cat>
          <c:val>
            <c:numRef>
              <c:f>'Data Analysis'!$F$29:$F$38</c:f>
              <c:numCache>
                <c:formatCode>0.00</c:formatCode>
                <c:ptCount val="10"/>
                <c:pt idx="0">
                  <c:v>64</c:v>
                </c:pt>
                <c:pt idx="1">
                  <c:v>61</c:v>
                </c:pt>
                <c:pt idx="2">
                  <c:v>55</c:v>
                </c:pt>
                <c:pt idx="3">
                  <c:v>55</c:v>
                </c:pt>
                <c:pt idx="4">
                  <c:v>55</c:v>
                </c:pt>
                <c:pt idx="5">
                  <c:v>54</c:v>
                </c:pt>
                <c:pt idx="6">
                  <c:v>54</c:v>
                </c:pt>
                <c:pt idx="7">
                  <c:v>53</c:v>
                </c:pt>
                <c:pt idx="8">
                  <c:v>53</c:v>
                </c:pt>
                <c:pt idx="9">
                  <c:v>52</c:v>
                </c:pt>
              </c:numCache>
            </c:numRef>
          </c:val>
          <c:extLst>
            <c:ext xmlns:c16="http://schemas.microsoft.com/office/drawing/2014/chart" uri="{C3380CC4-5D6E-409C-BE32-E72D297353CC}">
              <c16:uniqueId val="{00000000-49C2-422E-BE93-24E97101D998}"/>
            </c:ext>
          </c:extLst>
        </c:ser>
        <c:dLbls>
          <c:dLblPos val="outEnd"/>
          <c:showLegendKey val="0"/>
          <c:showVal val="1"/>
          <c:showCatName val="0"/>
          <c:showSerName val="0"/>
          <c:showPercent val="0"/>
          <c:showBubbleSize val="0"/>
        </c:dLbls>
        <c:gapWidth val="219"/>
        <c:overlap val="-27"/>
        <c:axId val="602986015"/>
        <c:axId val="602984575"/>
      </c:barChart>
      <c:catAx>
        <c:axId val="6029860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2984575"/>
        <c:crosses val="autoZero"/>
        <c:auto val="1"/>
        <c:lblAlgn val="ctr"/>
        <c:lblOffset val="100"/>
        <c:noMultiLvlLbl val="0"/>
      </c:catAx>
      <c:valAx>
        <c:axId val="602984575"/>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2986015"/>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Top 10  Products by Reviews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'Data Analysis'!$G$14</c:f>
              <c:strCache>
                <c:ptCount val="1"/>
                <c:pt idx="0">
                  <c:v>Review Count</c:v>
                </c:pt>
              </c:strCache>
            </c:strRef>
          </c:tx>
          <c:spPr>
            <a:solidFill>
              <a:schemeClr val="accent1"/>
            </a:solidFill>
            <a:ln>
              <a:noFill/>
            </a:ln>
            <a:effectLst/>
          </c:spPr>
          <c:invertIfNegative val="0"/>
          <c:cat>
            <c:strRef>
              <c:f>'Data Analysis'!$F$15:$F$24</c:f>
              <c:strCache>
                <c:ptCount val="10"/>
                <c:pt idx="0">
                  <c:v>120W Cordless Vacuum Cleaners Handheld Electric Vacuum Cleaner</c:v>
                </c:pt>
                <c:pt idx="1">
                  <c:v>137 Pieces Cake Decorating Tool Set Baking Supplies</c:v>
                </c:pt>
                <c:pt idx="2">
                  <c:v>Electronic Digital Display Vernier Caliper</c:v>
                </c:pt>
                <c:pt idx="3">
                  <c:v>3D Waterproof EVA Plastic Shower Curtain 1.8*2Mtrs</c:v>
                </c:pt>
                <c:pt idx="4">
                  <c:v>100 Pcs Crochet Hook Tool Set Knitting Hook Set With Box</c:v>
                </c:pt>
                <c:pt idx="5">
                  <c:v>Punch-free Great Load Bearing Bathroom Storage Rack Wall Shelf-White</c:v>
                </c:pt>
                <c:pt idx="6">
                  <c:v>53 Pieces/Set Yarn Knitting Crochet Hooks With Bag - Pansies</c:v>
                </c:pt>
                <c:pt idx="7">
                  <c:v>Portable Mini Cordless Car Vacuum Cleaner - Blue</c:v>
                </c:pt>
                <c:pt idx="8">
                  <c:v>52 Pieces Cake Decorating Tool Set Gift Kit Baking Supplies</c:v>
                </c:pt>
                <c:pt idx="9">
                  <c:v>53Pcs/Set Yarn Knitting Crochet Hooks With Bag - Fortune Cat</c:v>
                </c:pt>
              </c:strCache>
            </c:strRef>
          </c:cat>
          <c:val>
            <c:numRef>
              <c:f>'Data Analysis'!$G$15:$G$24</c:f>
              <c:numCache>
                <c:formatCode>#,##0</c:formatCode>
                <c:ptCount val="10"/>
                <c:pt idx="0">
                  <c:v>69</c:v>
                </c:pt>
                <c:pt idx="1">
                  <c:v>55</c:v>
                </c:pt>
                <c:pt idx="2">
                  <c:v>49</c:v>
                </c:pt>
                <c:pt idx="3">
                  <c:v>44</c:v>
                </c:pt>
                <c:pt idx="4">
                  <c:v>39</c:v>
                </c:pt>
                <c:pt idx="5">
                  <c:v>36</c:v>
                </c:pt>
                <c:pt idx="6">
                  <c:v>32</c:v>
                </c:pt>
                <c:pt idx="7">
                  <c:v>24</c:v>
                </c:pt>
                <c:pt idx="8">
                  <c:v>20</c:v>
                </c:pt>
                <c:pt idx="9">
                  <c:v>20</c:v>
                </c:pt>
              </c:numCache>
            </c:numRef>
          </c:val>
          <c:extLst>
            <c:ext xmlns:c16="http://schemas.microsoft.com/office/drawing/2014/chart" uri="{C3380CC4-5D6E-409C-BE32-E72D297353CC}">
              <c16:uniqueId val="{00000000-7CED-466E-A330-D105A3F6F812}"/>
            </c:ext>
          </c:extLst>
        </c:ser>
        <c:dLbls>
          <c:showLegendKey val="0"/>
          <c:showVal val="0"/>
          <c:showCatName val="0"/>
          <c:showSerName val="0"/>
          <c:showPercent val="0"/>
          <c:showBubbleSize val="0"/>
        </c:dLbls>
        <c:gapWidth val="182"/>
        <c:axId val="781375791"/>
        <c:axId val="781372911"/>
      </c:barChart>
      <c:catAx>
        <c:axId val="78137579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1372911"/>
        <c:crosses val="autoZero"/>
        <c:auto val="1"/>
        <c:lblAlgn val="ctr"/>
        <c:lblOffset val="100"/>
        <c:noMultiLvlLbl val="0"/>
      </c:catAx>
      <c:valAx>
        <c:axId val="781372911"/>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1375791"/>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_xlchart.v1.2</cx:f>
      </cx:numDim>
    </cx:data>
  </cx:chartData>
  <cx:chart>
    <cx:title pos="t" align="ctr" overlay="0"/>
    <cx:plotArea>
      <cx:plotAreaRegion>
        <cx:series layoutId="clusteredColumn" uniqueId="{A9A53FE7-60C4-4B3A-B901-EA2DC1F93B3F}">
          <cx:tx>
            <cx:txData>
              <cx:f>_xlchart.v1.1</cx:f>
              <cx:v>Review Count</cx:v>
            </cx:txData>
          </cx:tx>
          <cx:dataId val="0"/>
          <cx:layoutPr>
            <cx:aggregation/>
          </cx:layoutPr>
          <cx:axisId val="1"/>
        </cx:series>
        <cx:series layoutId="paretoLine" ownerIdx="0" uniqueId="{D7EF1180-556E-4E04-9670-6F88BBA3FF19}">
          <cx:axisId val="2"/>
        </cx:series>
      </cx:plotAreaRegion>
      <cx:axis id="0">
        <cx:catScaling gapWidth="0"/>
        <cx:tickLabels/>
      </cx:axis>
      <cx:axis id="1">
        <cx:valScaling/>
        <cx:majorGridlines/>
        <cx:tickLabels/>
      </cx:axis>
      <cx:axis id="2">
        <cx:valScaling max="1" min="0"/>
        <cx:units unit="percentage"/>
        <cx:tickLabels/>
      </cx:axis>
    </cx:plotArea>
  </cx:chart>
</cx:chartSpace>
</file>

<file path=xl/charts/colors1.xml><?xml version="1.0" encoding="utf-8"?>
<cs:colorStyle xmlns:cs="http://schemas.microsoft.com/office/drawing/2012/chartStyle" xmlns:a="http://schemas.openxmlformats.org/drawingml/2006/main" meth="withinLinear" id="14">
  <a:schemeClr val="accent1"/>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4">
  <a:schemeClr val="accent1"/>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4">
  <a:schemeClr val="accent1"/>
</cs:colorStyle>
</file>

<file path=xl/charts/colors7.xml><?xml version="1.0" encoding="utf-8"?>
<cs:colorStyle xmlns:cs="http://schemas.microsoft.com/office/drawing/2012/chartStyle" xmlns:a="http://schemas.openxmlformats.org/drawingml/2006/main" meth="withinLinear" id="14">
  <a:schemeClr val="accent1"/>
</cs:colorStyle>
</file>

<file path=xl/charts/colors8.xml><?xml version="1.0" encoding="utf-8"?>
<cs:colorStyle xmlns:cs="http://schemas.microsoft.com/office/drawing/2012/chartStyle" xmlns:a="http://schemas.openxmlformats.org/drawingml/2006/main" meth="withinLinear" id="14">
  <a:schemeClr val="accent1"/>
</cs:colorStyle>
</file>

<file path=xl/charts/colors9.xml><?xml version="1.0" encoding="utf-8"?>
<cs:colorStyle xmlns:cs="http://schemas.microsoft.com/office/drawing/2012/chartStyle" xmlns:a="http://schemas.openxmlformats.org/drawingml/2006/main" meth="withinLinear" id="14">
  <a:schemeClr val="accent1"/>
</cs:colorStyle>
</file>

<file path=xl/charts/colors10.xml><?xml version="1.0" encoding="utf-8"?>
<cs:colorStyle xmlns:cs="http://schemas.microsoft.com/office/drawing/2012/chartStyle" xmlns:a="http://schemas.openxmlformats.org/drawingml/2006/main" meth="withinLinear" id="14">
  <a:schemeClr val="accent1"/>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2">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
  <cs:dataPoint3D>
    <cs:lnRef idx="0"/>
    <cs:fillRef idx="0">
      <cs:styleClr val="auto"/>
    </cs:fillRef>
    <cs:effectRef idx="0"/>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63">
  <cs:axisTitle>
    <cs:lnRef idx="0"/>
    <cs:fillRef idx="0"/>
    <cs:effectRef idx="0"/>
    <cs:fontRef idx="minor">
      <a:schemeClr val="tx1">
        <a:lumMod val="50000"/>
        <a:lumOff val="50000"/>
      </a:schemeClr>
    </cs:fontRef>
    <cs:defRPr sz="900" kern="1200"/>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styleClr val="auto"/>
    </cs:lnRef>
    <cs:fillRef idx="0"/>
    <cs:effectRef idx="0">
      <cs:styleClr val="auto"/>
    </cs:effectRef>
    <cs:fontRef idx="minor">
      <cs:styleClr val="auto"/>
    </cs:fontRef>
    <cs:spPr>
      <a:solidFill>
        <a:schemeClr val="lt1">
          <a:alpha val="90000"/>
        </a:schemeClr>
      </a:solidFill>
      <a:ln w="12700" cap="flat" cmpd="sng" algn="ctr">
        <a:solidFill>
          <a:schemeClr val="phClr"/>
        </a:solidFill>
        <a:round/>
      </a:ln>
      <a:effectLst>
        <a:outerShdw blurRad="50800" dist="38100" dir="2700000" algn="tl" rotWithShape="0">
          <a:schemeClr val="phClr">
            <a:lumMod val="75000"/>
            <a:alpha val="40000"/>
          </a:schemeClr>
        </a:outerShdw>
      </a:effectLst>
    </cs:spPr>
    <cs:defRPr sz="1000" b="0" i="0" u="none" strike="noStrike" kern="1200" baseline="0">
      <a:effectLst/>
    </cs:defRPr>
    <cs:bodyPr rot="0" spcFirstLastPara="1" vertOverflow="clip" horzOverflow="clip" vert="horz" wrap="square" lIns="38100" tIns="19050" rIns="38100" bIns="19050" anchor="ctr" anchorCtr="1">
      <a:spAutoFit/>
    </cs:bodyPr>
  </cs:dataLabel>
  <cs:dataLabelCallout>
    <cs:lnRef idx="0">
      <cs:styleClr val="auto"/>
    </cs:lnRef>
    <cs:fillRef idx="0"/>
    <cs:effectRef idx="0">
      <cs:styleClr val="auto"/>
    </cs:effectRef>
    <cs:fontRef idx="minor">
      <cs:styleClr val="auto"/>
    </cs:fontRef>
    <cs:spPr>
      <a:solidFill>
        <a:schemeClr val="lt1">
          <a:alpha val="90000"/>
        </a:schemeClr>
      </a:solidFill>
      <a:ln w="12700" cap="flat" cmpd="sng" algn="ctr">
        <a:solidFill>
          <a:schemeClr val="phClr"/>
        </a:solidFill>
        <a:round/>
      </a:ln>
      <a:effectLst>
        <a:outerShdw blurRad="50800" dist="38100" dir="2700000" algn="tl" rotWithShape="0">
          <a:schemeClr val="phClr">
            <a:lumMod val="75000"/>
            <a:alpha val="40000"/>
          </a:schemeClr>
        </a:outerShdw>
      </a:effectLst>
    </cs:spPr>
    <cs:defRPr sz="1000" b="0" i="0" u="none" strike="noStrike" kern="1200" baseline="0">
      <a:effectLst/>
    </cs:defRPr>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alpha val="70000"/>
        </a:schemeClr>
      </a:solidFill>
    </cs:spPr>
  </cs:dataPoint>
  <cs:dataPoint3D>
    <cs:lnRef idx="0">
      <cs:styleClr val="auto"/>
    </cs:lnRef>
    <cs:fillRef idx="0">
      <cs:styleClr val="auto"/>
    </cs:fillRef>
    <cs:effectRef idx="0">
      <cs:styleClr val="auto"/>
    </cs:effectRef>
    <cs:fontRef idx="minor">
      <a:schemeClr val="tx1"/>
    </cs:fontRef>
    <cs:spPr>
      <a:solidFill>
        <a:schemeClr val="phClr">
          <a:alpha val="90000"/>
        </a:schemeClr>
      </a:solidFill>
      <a:ln w="19050">
        <a:solidFill>
          <a:schemeClr val="phClr">
            <a:lumMod val="75000"/>
          </a:schemeClr>
        </a:solidFill>
      </a:ln>
      <a:effectLst>
        <a:innerShdw blurRad="114300">
          <a:schemeClr val="phClr">
            <a:lumMod val="75000"/>
          </a:schemeClr>
        </a:innerShdw>
      </a:effectLst>
      <a:scene3d>
        <a:camera prst="orthographicFront"/>
        <a:lightRig rig="threePt" dir="t"/>
      </a:scene3d>
      <a:sp3d contourW="19050" prstMaterial="flat">
        <a:contourClr>
          <a:schemeClr val="accent4">
            <a:lumMod val="75000"/>
          </a:schemeClr>
        </a:contourClr>
      </a:sp3d>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52">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
  <cs:dataPoint3D>
    <cs:lnRef idx="0"/>
    <cs:fillRef idx="0">
      <cs:styleClr val="auto"/>
    </cs:fillRef>
    <cs:effectRef idx="0"/>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63">
  <cs:axisTitle>
    <cs:lnRef idx="0"/>
    <cs:fillRef idx="0"/>
    <cs:effectRef idx="0"/>
    <cs:fontRef idx="minor">
      <a:schemeClr val="tx1">
        <a:lumMod val="50000"/>
        <a:lumOff val="50000"/>
      </a:schemeClr>
    </cs:fontRef>
    <cs:defRPr sz="900" kern="1200"/>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styleClr val="auto"/>
    </cs:lnRef>
    <cs:fillRef idx="0"/>
    <cs:effectRef idx="0">
      <cs:styleClr val="auto"/>
    </cs:effectRef>
    <cs:fontRef idx="minor">
      <cs:styleClr val="auto"/>
    </cs:fontRef>
    <cs:spPr>
      <a:solidFill>
        <a:schemeClr val="lt1">
          <a:alpha val="90000"/>
        </a:schemeClr>
      </a:solidFill>
      <a:ln w="12700" cap="flat" cmpd="sng" algn="ctr">
        <a:solidFill>
          <a:schemeClr val="phClr"/>
        </a:solidFill>
        <a:round/>
      </a:ln>
      <a:effectLst>
        <a:outerShdw blurRad="50800" dist="38100" dir="2700000" algn="tl" rotWithShape="0">
          <a:schemeClr val="phClr">
            <a:lumMod val="75000"/>
            <a:alpha val="40000"/>
          </a:schemeClr>
        </a:outerShdw>
      </a:effectLst>
    </cs:spPr>
    <cs:defRPr sz="1000" b="0" i="0" u="none" strike="noStrike" kern="1200" baseline="0">
      <a:effectLst/>
    </cs:defRPr>
    <cs:bodyPr rot="0" spcFirstLastPara="1" vertOverflow="clip" horzOverflow="clip" vert="horz" wrap="square" lIns="38100" tIns="19050" rIns="38100" bIns="19050" anchor="ctr" anchorCtr="1">
      <a:spAutoFit/>
    </cs:bodyPr>
  </cs:dataLabel>
  <cs:dataLabelCallout>
    <cs:lnRef idx="0">
      <cs:styleClr val="auto"/>
    </cs:lnRef>
    <cs:fillRef idx="0"/>
    <cs:effectRef idx="0">
      <cs:styleClr val="auto"/>
    </cs:effectRef>
    <cs:fontRef idx="minor">
      <cs:styleClr val="auto"/>
    </cs:fontRef>
    <cs:spPr>
      <a:solidFill>
        <a:schemeClr val="lt1">
          <a:alpha val="90000"/>
        </a:schemeClr>
      </a:solidFill>
      <a:ln w="12700" cap="flat" cmpd="sng" algn="ctr">
        <a:solidFill>
          <a:schemeClr val="phClr"/>
        </a:solidFill>
        <a:round/>
      </a:ln>
      <a:effectLst>
        <a:outerShdw blurRad="50800" dist="38100" dir="2700000" algn="tl" rotWithShape="0">
          <a:schemeClr val="phClr">
            <a:lumMod val="75000"/>
            <a:alpha val="40000"/>
          </a:schemeClr>
        </a:outerShdw>
      </a:effectLst>
    </cs:spPr>
    <cs:defRPr sz="1000" b="0" i="0" u="none" strike="noStrike" kern="1200" baseline="0">
      <a:effectLst/>
    </cs:defRPr>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alpha val="70000"/>
        </a:schemeClr>
      </a:solidFill>
    </cs:spPr>
  </cs:dataPoint>
  <cs:dataPoint3D>
    <cs:lnRef idx="0">
      <cs:styleClr val="auto"/>
    </cs:lnRef>
    <cs:fillRef idx="0">
      <cs:styleClr val="auto"/>
    </cs:fillRef>
    <cs:effectRef idx="0">
      <cs:styleClr val="auto"/>
    </cs:effectRef>
    <cs:fontRef idx="minor">
      <a:schemeClr val="tx1"/>
    </cs:fontRef>
    <cs:spPr>
      <a:solidFill>
        <a:schemeClr val="phClr">
          <a:alpha val="90000"/>
        </a:schemeClr>
      </a:solidFill>
      <a:ln w="19050">
        <a:solidFill>
          <a:schemeClr val="phClr">
            <a:lumMod val="75000"/>
          </a:schemeClr>
        </a:solidFill>
      </a:ln>
      <a:effectLst>
        <a:innerShdw blurRad="114300">
          <a:schemeClr val="phClr">
            <a:lumMod val="75000"/>
          </a:schemeClr>
        </a:innerShdw>
      </a:effectLst>
      <a:scene3d>
        <a:camera prst="orthographicFront"/>
        <a:lightRig rig="threePt" dir="t"/>
      </a:scene3d>
      <a:sp3d contourW="19050" prstMaterial="flat">
        <a:contourClr>
          <a:schemeClr val="accent4">
            <a:lumMod val="75000"/>
          </a:schemeClr>
        </a:contourClr>
      </a:sp3d>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52">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
  <cs:dataPoint3D>
    <cs:lnRef idx="0"/>
    <cs:fillRef idx="0">
      <cs:styleClr val="auto"/>
    </cs:fillRef>
    <cs:effectRef idx="0"/>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3" Type="http://schemas.openxmlformats.org/officeDocument/2006/relationships/chart" Target="../charts/chart6.xml"/><Relationship Id="rId2" Type="http://schemas.microsoft.com/office/2014/relationships/chartEx" Target="../charts/chartEx1.xml"/><Relationship Id="rId1" Type="http://schemas.openxmlformats.org/officeDocument/2006/relationships/chart" Target="../charts/chart5.xml"/><Relationship Id="rId4" Type="http://schemas.openxmlformats.org/officeDocument/2006/relationships/chart" Target="../charts/chart7.xml"/></Relationships>
</file>

<file path=xl/drawings/_rels/drawing6.xml.rels><?xml version="1.0" encoding="UTF-8" standalone="yes"?>
<Relationships xmlns="http://schemas.openxmlformats.org/package/2006/relationships"><Relationship Id="rId3" Type="http://schemas.openxmlformats.org/officeDocument/2006/relationships/chart" Target="../charts/chart10.xml"/><Relationship Id="rId2" Type="http://schemas.openxmlformats.org/officeDocument/2006/relationships/chart" Target="../charts/chart9.xml"/><Relationship Id="rId1" Type="http://schemas.openxmlformats.org/officeDocument/2006/relationships/chart" Target="../charts/chart8.xml"/><Relationship Id="rId5" Type="http://schemas.openxmlformats.org/officeDocument/2006/relationships/chart" Target="../charts/chart12.xml"/><Relationship Id="rId4"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editAs="oneCell">
    <xdr:from>
      <xdr:col>4</xdr:col>
      <xdr:colOff>400050</xdr:colOff>
      <xdr:row>6</xdr:row>
      <xdr:rowOff>9525</xdr:rowOff>
    </xdr:from>
    <xdr:to>
      <xdr:col>7</xdr:col>
      <xdr:colOff>400050</xdr:colOff>
      <xdr:row>20</xdr:row>
      <xdr:rowOff>9525</xdr:rowOff>
    </xdr:to>
    <mc:AlternateContent xmlns:mc="http://schemas.openxmlformats.org/markup-compatibility/2006">
      <mc:Choice xmlns:a14="http://schemas.microsoft.com/office/drawing/2010/main" Requires="a14">
        <xdr:graphicFrame macro="">
          <xdr:nvGraphicFramePr>
            <xdr:cNvPr id="2" name="Product">
              <a:extLst>
                <a:ext uri="{FF2B5EF4-FFF2-40B4-BE49-F238E27FC236}">
                  <a16:creationId xmlns:a16="http://schemas.microsoft.com/office/drawing/2014/main" id="{5BAF7B5F-5766-4339-D6AB-63140A2936FE}"/>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3819525" y="1152525"/>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381000</xdr:colOff>
      <xdr:row>8</xdr:row>
      <xdr:rowOff>38100</xdr:rowOff>
    </xdr:from>
    <xdr:to>
      <xdr:col>2</xdr:col>
      <xdr:colOff>9525</xdr:colOff>
      <xdr:row>17</xdr:row>
      <xdr:rowOff>28576</xdr:rowOff>
    </xdr:to>
    <mc:AlternateContent xmlns:mc="http://schemas.openxmlformats.org/markup-compatibility/2006">
      <mc:Choice xmlns:a14="http://schemas.microsoft.com/office/drawing/2010/main" Requires="a14">
        <xdr:graphicFrame macro="">
          <xdr:nvGraphicFramePr>
            <xdr:cNvPr id="3" name="Discount Category">
              <a:extLst>
                <a:ext uri="{FF2B5EF4-FFF2-40B4-BE49-F238E27FC236}">
                  <a16:creationId xmlns:a16="http://schemas.microsoft.com/office/drawing/2014/main" id="{5D16D3C7-D725-36D6-2C4B-2DA4B27F340C}"/>
                </a:ext>
              </a:extLst>
            </xdr:cNvPr>
            <xdr:cNvGraphicFramePr/>
          </xdr:nvGraphicFramePr>
          <xdr:xfrm>
            <a:off x="0" y="0"/>
            <a:ext cx="0" cy="0"/>
          </xdr:xfrm>
          <a:graphic>
            <a:graphicData uri="http://schemas.microsoft.com/office/drawing/2010/slicer">
              <sle:slicer xmlns:sle="http://schemas.microsoft.com/office/drawing/2010/slicer" name="Discount Category"/>
            </a:graphicData>
          </a:graphic>
        </xdr:graphicFrame>
      </mc:Choice>
      <mc:Fallback>
        <xdr:sp macro="" textlink="">
          <xdr:nvSpPr>
            <xdr:cNvPr id="0" name=""/>
            <xdr:cNvSpPr>
              <a:spLocks noTextEdit="1"/>
            </xdr:cNvSpPr>
          </xdr:nvSpPr>
          <xdr:spPr>
            <a:xfrm>
              <a:off x="381000" y="1562100"/>
              <a:ext cx="1828800" cy="170497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781049</xdr:colOff>
      <xdr:row>7</xdr:row>
      <xdr:rowOff>33337</xdr:rowOff>
    </xdr:from>
    <xdr:to>
      <xdr:col>5</xdr:col>
      <xdr:colOff>304799</xdr:colOff>
      <xdr:row>21</xdr:row>
      <xdr:rowOff>109537</xdr:rowOff>
    </xdr:to>
    <xdr:graphicFrame macro="">
      <xdr:nvGraphicFramePr>
        <xdr:cNvPr id="2" name="Chart 1">
          <a:extLst>
            <a:ext uri="{FF2B5EF4-FFF2-40B4-BE49-F238E27FC236}">
              <a16:creationId xmlns:a16="http://schemas.microsoft.com/office/drawing/2014/main" id="{34889FD1-D920-0B4A-6533-86B2E60838E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542925</xdr:colOff>
      <xdr:row>7</xdr:row>
      <xdr:rowOff>42862</xdr:rowOff>
    </xdr:from>
    <xdr:to>
      <xdr:col>9</xdr:col>
      <xdr:colOff>495300</xdr:colOff>
      <xdr:row>21</xdr:row>
      <xdr:rowOff>119062</xdr:rowOff>
    </xdr:to>
    <xdr:graphicFrame macro="">
      <xdr:nvGraphicFramePr>
        <xdr:cNvPr id="2" name="Chart 1">
          <a:extLst>
            <a:ext uri="{FF2B5EF4-FFF2-40B4-BE49-F238E27FC236}">
              <a16:creationId xmlns:a16="http://schemas.microsoft.com/office/drawing/2014/main" id="{C78765A5-513E-E351-A182-A23F8F88857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295275</xdr:colOff>
      <xdr:row>7</xdr:row>
      <xdr:rowOff>85725</xdr:rowOff>
    </xdr:from>
    <xdr:to>
      <xdr:col>14</xdr:col>
      <xdr:colOff>295275</xdr:colOff>
      <xdr:row>21</xdr:row>
      <xdr:rowOff>85725</xdr:rowOff>
    </xdr:to>
    <mc:AlternateContent xmlns:mc="http://schemas.openxmlformats.org/markup-compatibility/2006">
      <mc:Choice xmlns:a14="http://schemas.microsoft.com/office/drawing/2010/main" Requires="a14">
        <xdr:graphicFrame macro="">
          <xdr:nvGraphicFramePr>
            <xdr:cNvPr id="5" name="Ratings">
              <a:extLst>
                <a:ext uri="{FF2B5EF4-FFF2-40B4-BE49-F238E27FC236}">
                  <a16:creationId xmlns:a16="http://schemas.microsoft.com/office/drawing/2014/main" id="{6B8113B2-6C97-BD46-4823-F6779444A8B3}"/>
                </a:ext>
              </a:extLst>
            </xdr:cNvPr>
            <xdr:cNvGraphicFramePr/>
          </xdr:nvGraphicFramePr>
          <xdr:xfrm>
            <a:off x="0" y="0"/>
            <a:ext cx="0" cy="0"/>
          </xdr:xfrm>
          <a:graphic>
            <a:graphicData uri="http://schemas.microsoft.com/office/drawing/2010/slicer">
              <sle:slicer xmlns:sle="http://schemas.microsoft.com/office/drawing/2010/slicer" name="Ratings"/>
            </a:graphicData>
          </a:graphic>
        </xdr:graphicFrame>
      </mc:Choice>
      <mc:Fallback>
        <xdr:sp macro="" textlink="">
          <xdr:nvSpPr>
            <xdr:cNvPr id="0" name=""/>
            <xdr:cNvSpPr>
              <a:spLocks noTextEdit="1"/>
            </xdr:cNvSpPr>
          </xdr:nvSpPr>
          <xdr:spPr>
            <a:xfrm>
              <a:off x="8334375" y="1419225"/>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38100</xdr:colOff>
      <xdr:row>9</xdr:row>
      <xdr:rowOff>133350</xdr:rowOff>
    </xdr:from>
    <xdr:to>
      <xdr:col>2</xdr:col>
      <xdr:colOff>771525</xdr:colOff>
      <xdr:row>23</xdr:row>
      <xdr:rowOff>133350</xdr:rowOff>
    </xdr:to>
    <mc:AlternateContent xmlns:mc="http://schemas.openxmlformats.org/markup-compatibility/2006">
      <mc:Choice xmlns:a14="http://schemas.microsoft.com/office/drawing/2010/main" Requires="a14">
        <xdr:graphicFrame macro="">
          <xdr:nvGraphicFramePr>
            <xdr:cNvPr id="6" name="Rating Category">
              <a:extLst>
                <a:ext uri="{FF2B5EF4-FFF2-40B4-BE49-F238E27FC236}">
                  <a16:creationId xmlns:a16="http://schemas.microsoft.com/office/drawing/2014/main" id="{FE7739E4-B035-949C-0381-596AB136C399}"/>
                </a:ext>
              </a:extLst>
            </xdr:cNvPr>
            <xdr:cNvGraphicFramePr/>
          </xdr:nvGraphicFramePr>
          <xdr:xfrm>
            <a:off x="0" y="0"/>
            <a:ext cx="0" cy="0"/>
          </xdr:xfrm>
          <a:graphic>
            <a:graphicData uri="http://schemas.microsoft.com/office/drawing/2010/slicer">
              <sle:slicer xmlns:sle="http://schemas.microsoft.com/office/drawing/2010/slicer" name="Rating Category"/>
            </a:graphicData>
          </a:graphic>
        </xdr:graphicFrame>
      </mc:Choice>
      <mc:Fallback>
        <xdr:sp macro="" textlink="">
          <xdr:nvSpPr>
            <xdr:cNvPr id="0" name=""/>
            <xdr:cNvSpPr>
              <a:spLocks noTextEdit="1"/>
            </xdr:cNvSpPr>
          </xdr:nvSpPr>
          <xdr:spPr>
            <a:xfrm>
              <a:off x="1143000" y="1847850"/>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295275</xdr:colOff>
      <xdr:row>6</xdr:row>
      <xdr:rowOff>142875</xdr:rowOff>
    </xdr:from>
    <xdr:to>
      <xdr:col>11</xdr:col>
      <xdr:colOff>295275</xdr:colOff>
      <xdr:row>20</xdr:row>
      <xdr:rowOff>152400</xdr:rowOff>
    </xdr:to>
    <mc:AlternateContent xmlns:mc="http://schemas.openxmlformats.org/markup-compatibility/2006">
      <mc:Choice xmlns:a14="http://schemas.microsoft.com/office/drawing/2010/main" Requires="a14">
        <xdr:graphicFrame macro="">
          <xdr:nvGraphicFramePr>
            <xdr:cNvPr id="7" name="Price Categpry">
              <a:extLst>
                <a:ext uri="{FF2B5EF4-FFF2-40B4-BE49-F238E27FC236}">
                  <a16:creationId xmlns:a16="http://schemas.microsoft.com/office/drawing/2014/main" id="{2848B23E-5AA6-813E-F069-87BC99757A16}"/>
                </a:ext>
              </a:extLst>
            </xdr:cNvPr>
            <xdr:cNvGraphicFramePr/>
          </xdr:nvGraphicFramePr>
          <xdr:xfrm>
            <a:off x="0" y="0"/>
            <a:ext cx="0" cy="0"/>
          </xdr:xfrm>
          <a:graphic>
            <a:graphicData uri="http://schemas.microsoft.com/office/drawing/2010/slicer">
              <sle:slicer xmlns:sle="http://schemas.microsoft.com/office/drawing/2010/slicer" name="Price Categpry"/>
            </a:graphicData>
          </a:graphic>
        </xdr:graphicFrame>
      </mc:Choice>
      <mc:Fallback>
        <xdr:sp macro="" textlink="">
          <xdr:nvSpPr>
            <xdr:cNvPr id="0" name=""/>
            <xdr:cNvSpPr>
              <a:spLocks noTextEdit="1"/>
            </xdr:cNvSpPr>
          </xdr:nvSpPr>
          <xdr:spPr>
            <a:xfrm>
              <a:off x="6505575" y="1285875"/>
              <a:ext cx="1828800" cy="26765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5</xdr:col>
      <xdr:colOff>685800</xdr:colOff>
      <xdr:row>30</xdr:row>
      <xdr:rowOff>147637</xdr:rowOff>
    </xdr:from>
    <xdr:to>
      <xdr:col>11</xdr:col>
      <xdr:colOff>495300</xdr:colOff>
      <xdr:row>45</xdr:row>
      <xdr:rowOff>14287</xdr:rowOff>
    </xdr:to>
    <xdr:graphicFrame macro="">
      <xdr:nvGraphicFramePr>
        <xdr:cNvPr id="2" name="Chart 1">
          <a:extLst>
            <a:ext uri="{FF2B5EF4-FFF2-40B4-BE49-F238E27FC236}">
              <a16:creationId xmlns:a16="http://schemas.microsoft.com/office/drawing/2014/main" id="{A4260366-2A25-1DDA-0104-D1DFD34775D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142875</xdr:colOff>
      <xdr:row>11</xdr:row>
      <xdr:rowOff>71437</xdr:rowOff>
    </xdr:from>
    <xdr:to>
      <xdr:col>15</xdr:col>
      <xdr:colOff>447675</xdr:colOff>
      <xdr:row>25</xdr:row>
      <xdr:rowOff>138112</xdr:rowOff>
    </xdr:to>
    <xdr:graphicFrame macro="">
      <xdr:nvGraphicFramePr>
        <xdr:cNvPr id="3" name="Chart 2">
          <a:extLst>
            <a:ext uri="{FF2B5EF4-FFF2-40B4-BE49-F238E27FC236}">
              <a16:creationId xmlns:a16="http://schemas.microsoft.com/office/drawing/2014/main" id="{1313AF95-D1D8-2263-C8B0-3A6C0C02E98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0</xdr:row>
      <xdr:rowOff>0</xdr:rowOff>
    </xdr:from>
    <xdr:to>
      <xdr:col>7</xdr:col>
      <xdr:colOff>304800</xdr:colOff>
      <xdr:row>14</xdr:row>
      <xdr:rowOff>76200</xdr:rowOff>
    </xdr:to>
    <xdr:graphicFrame macro="">
      <xdr:nvGraphicFramePr>
        <xdr:cNvPr id="2" name="Chart 1">
          <a:extLst>
            <a:ext uri="{FF2B5EF4-FFF2-40B4-BE49-F238E27FC236}">
              <a16:creationId xmlns:a16="http://schemas.microsoft.com/office/drawing/2014/main" id="{ED24B19F-28F1-4EFA-92CE-AC3AE7435D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0</xdr:colOff>
      <xdr:row>0</xdr:row>
      <xdr:rowOff>0</xdr:rowOff>
    </xdr:from>
    <xdr:to>
      <xdr:col>16</xdr:col>
      <xdr:colOff>304800</xdr:colOff>
      <xdr:row>14</xdr:row>
      <xdr:rowOff>76200</xdr:rowOff>
    </xdr:to>
    <mc:AlternateContent xmlns:mc="http://schemas.openxmlformats.org/markup-compatibility/2006">
      <mc:Choice xmlns:cx1="http://schemas.microsoft.com/office/drawing/2015/9/8/chartex" Requires="cx1">
        <xdr:graphicFrame macro="">
          <xdr:nvGraphicFramePr>
            <xdr:cNvPr id="4" name="Chart 3">
              <a:extLst>
                <a:ext uri="{FF2B5EF4-FFF2-40B4-BE49-F238E27FC236}">
                  <a16:creationId xmlns:a16="http://schemas.microsoft.com/office/drawing/2014/main" id="{2589193F-0FEC-4BE0-AC3C-1EEAF327FD6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5486400" y="0"/>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8</xdr:col>
      <xdr:colOff>333375</xdr:colOff>
      <xdr:row>15</xdr:row>
      <xdr:rowOff>114300</xdr:rowOff>
    </xdr:from>
    <xdr:to>
      <xdr:col>13</xdr:col>
      <xdr:colOff>95250</xdr:colOff>
      <xdr:row>31</xdr:row>
      <xdr:rowOff>57150</xdr:rowOff>
    </xdr:to>
    <xdr:graphicFrame macro="">
      <xdr:nvGraphicFramePr>
        <xdr:cNvPr id="5" name="Chart 4">
          <a:extLst>
            <a:ext uri="{FF2B5EF4-FFF2-40B4-BE49-F238E27FC236}">
              <a16:creationId xmlns:a16="http://schemas.microsoft.com/office/drawing/2014/main" id="{5A2EB561-5B16-4DFE-A434-3CD4FC7C72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15</xdr:col>
      <xdr:colOff>0</xdr:colOff>
      <xdr:row>23</xdr:row>
      <xdr:rowOff>0</xdr:rowOff>
    </xdr:from>
    <xdr:to>
      <xdr:col>18</xdr:col>
      <xdr:colOff>0</xdr:colOff>
      <xdr:row>37</xdr:row>
      <xdr:rowOff>0</xdr:rowOff>
    </xdr:to>
    <mc:AlternateContent xmlns:mc="http://schemas.openxmlformats.org/markup-compatibility/2006" xmlns:a14="http://schemas.microsoft.com/office/drawing/2010/main">
      <mc:Choice Requires="a14">
        <xdr:graphicFrame macro="">
          <xdr:nvGraphicFramePr>
            <xdr:cNvPr id="7" name="Review 1">
              <a:extLst>
                <a:ext uri="{FF2B5EF4-FFF2-40B4-BE49-F238E27FC236}">
                  <a16:creationId xmlns:a16="http://schemas.microsoft.com/office/drawing/2014/main" id="{57CE4FA3-51C1-4ED1-906E-524A76CDCF7A}"/>
                </a:ext>
              </a:extLst>
            </xdr:cNvPr>
            <xdr:cNvGraphicFramePr/>
          </xdr:nvGraphicFramePr>
          <xdr:xfrm>
            <a:off x="0" y="0"/>
            <a:ext cx="0" cy="0"/>
          </xdr:xfrm>
          <a:graphic>
            <a:graphicData uri="http://schemas.microsoft.com/office/drawing/2010/slicer">
              <sle:slicer xmlns:sle="http://schemas.microsoft.com/office/drawing/2010/slicer" name="Review 1"/>
            </a:graphicData>
          </a:graphic>
        </xdr:graphicFrame>
      </mc:Choice>
      <mc:Fallback xmlns="">
        <xdr:sp macro="" textlink="">
          <xdr:nvSpPr>
            <xdr:cNvPr id="0" name=""/>
            <xdr:cNvSpPr>
              <a:spLocks noTextEdit="1"/>
            </xdr:cNvSpPr>
          </xdr:nvSpPr>
          <xdr:spPr>
            <a:xfrm>
              <a:off x="9144000" y="4381500"/>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133350</xdr:colOff>
      <xdr:row>15</xdr:row>
      <xdr:rowOff>180975</xdr:rowOff>
    </xdr:from>
    <xdr:to>
      <xdr:col>7</xdr:col>
      <xdr:colOff>438150</xdr:colOff>
      <xdr:row>30</xdr:row>
      <xdr:rowOff>66675</xdr:rowOff>
    </xdr:to>
    <xdr:graphicFrame macro="">
      <xdr:nvGraphicFramePr>
        <xdr:cNvPr id="6" name="Chart 5">
          <a:extLst>
            <a:ext uri="{FF2B5EF4-FFF2-40B4-BE49-F238E27FC236}">
              <a16:creationId xmlns:a16="http://schemas.microsoft.com/office/drawing/2014/main" id="{817909DD-0DBB-4E47-8046-8D20181CC0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114301</xdr:colOff>
      <xdr:row>0</xdr:row>
      <xdr:rowOff>38100</xdr:rowOff>
    </xdr:from>
    <xdr:to>
      <xdr:col>14</xdr:col>
      <xdr:colOff>419100</xdr:colOff>
      <xdr:row>3</xdr:row>
      <xdr:rowOff>161925</xdr:rowOff>
    </xdr:to>
    <xdr:sp macro="" textlink="">
      <xdr:nvSpPr>
        <xdr:cNvPr id="3" name="Rectangle 2">
          <a:extLst>
            <a:ext uri="{FF2B5EF4-FFF2-40B4-BE49-F238E27FC236}">
              <a16:creationId xmlns:a16="http://schemas.microsoft.com/office/drawing/2014/main" id="{8C8A9D9D-7B21-5E36-AB65-4256DD38A357}"/>
            </a:ext>
          </a:extLst>
        </xdr:cNvPr>
        <xdr:cNvSpPr/>
      </xdr:nvSpPr>
      <xdr:spPr>
        <a:xfrm>
          <a:off x="1943101" y="38100"/>
          <a:ext cx="7010399" cy="695325"/>
        </a:xfrm>
        <a:prstGeom prst="rect">
          <a:avLst/>
        </a:prstGeom>
        <a:solidFill>
          <a:schemeClr val="accent1">
            <a:lumMod val="20000"/>
            <a:lumOff val="80000"/>
          </a:schemeClr>
        </a:solidFill>
        <a:effectLst>
          <a:glow rad="139700">
            <a:schemeClr val="accent1">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800" b="1">
              <a:solidFill>
                <a:schemeClr val="accent2">
                  <a:lumMod val="75000"/>
                </a:schemeClr>
              </a:solidFill>
              <a:latin typeface="+mn-lt"/>
            </a:rPr>
            <a:t>JUMIA PRODUCT PERFORMANCE DASHBOARD</a:t>
          </a:r>
        </a:p>
      </xdr:txBody>
    </xdr:sp>
    <xdr:clientData/>
  </xdr:twoCellAnchor>
  <xdr:twoCellAnchor>
    <xdr:from>
      <xdr:col>3</xdr:col>
      <xdr:colOff>114301</xdr:colOff>
      <xdr:row>4</xdr:row>
      <xdr:rowOff>161925</xdr:rowOff>
    </xdr:from>
    <xdr:to>
      <xdr:col>4</xdr:col>
      <xdr:colOff>571500</xdr:colOff>
      <xdr:row>7</xdr:row>
      <xdr:rowOff>95250</xdr:rowOff>
    </xdr:to>
    <xdr:sp macro="" textlink="">
      <xdr:nvSpPr>
        <xdr:cNvPr id="4" name="Rectangle: Rounded Corners 3">
          <a:extLst>
            <a:ext uri="{FF2B5EF4-FFF2-40B4-BE49-F238E27FC236}">
              <a16:creationId xmlns:a16="http://schemas.microsoft.com/office/drawing/2014/main" id="{7FB3BB5C-4C24-AA3F-C072-6928B023605D}"/>
            </a:ext>
          </a:extLst>
        </xdr:cNvPr>
        <xdr:cNvSpPr/>
      </xdr:nvSpPr>
      <xdr:spPr>
        <a:xfrm>
          <a:off x="1943101" y="923925"/>
          <a:ext cx="1066799" cy="504825"/>
        </a:xfrm>
        <a:prstGeom prst="roundRect">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solidFill>
                <a:schemeClr val="accent2">
                  <a:lumMod val="75000"/>
                </a:schemeClr>
              </a:solidFill>
            </a:rPr>
            <a:t>Total</a:t>
          </a:r>
          <a:r>
            <a:rPr lang="en-US" sz="1100" b="1" baseline="0">
              <a:solidFill>
                <a:schemeClr val="accent2">
                  <a:lumMod val="75000"/>
                </a:schemeClr>
              </a:solidFill>
            </a:rPr>
            <a:t> Products</a:t>
          </a:r>
          <a:br>
            <a:rPr lang="en-US" sz="1100" b="1" baseline="0">
              <a:solidFill>
                <a:schemeClr val="accent2">
                  <a:lumMod val="75000"/>
                </a:schemeClr>
              </a:solidFill>
            </a:rPr>
          </a:br>
          <a:r>
            <a:rPr lang="en-US" sz="1100" b="1" baseline="0">
              <a:solidFill>
                <a:schemeClr val="accent2">
                  <a:lumMod val="75000"/>
                </a:schemeClr>
              </a:solidFill>
            </a:rPr>
            <a:t>117</a:t>
          </a:r>
          <a:endParaRPr lang="en-US" sz="1100" b="1">
            <a:solidFill>
              <a:schemeClr val="accent2">
                <a:lumMod val="75000"/>
              </a:schemeClr>
            </a:solidFill>
          </a:endParaRPr>
        </a:p>
      </xdr:txBody>
    </xdr:sp>
    <xdr:clientData/>
  </xdr:twoCellAnchor>
  <xdr:twoCellAnchor>
    <xdr:from>
      <xdr:col>5</xdr:col>
      <xdr:colOff>95249</xdr:colOff>
      <xdr:row>4</xdr:row>
      <xdr:rowOff>161926</xdr:rowOff>
    </xdr:from>
    <xdr:to>
      <xdr:col>7</xdr:col>
      <xdr:colOff>381000</xdr:colOff>
      <xdr:row>7</xdr:row>
      <xdr:rowOff>104776</xdr:rowOff>
    </xdr:to>
    <xdr:sp macro="" textlink="">
      <xdr:nvSpPr>
        <xdr:cNvPr id="5" name="Rectangle: Rounded Corners 4">
          <a:extLst>
            <a:ext uri="{FF2B5EF4-FFF2-40B4-BE49-F238E27FC236}">
              <a16:creationId xmlns:a16="http://schemas.microsoft.com/office/drawing/2014/main" id="{9A63246E-F0C9-B661-312E-37805F6E340D}"/>
            </a:ext>
          </a:extLst>
        </xdr:cNvPr>
        <xdr:cNvSpPr/>
      </xdr:nvSpPr>
      <xdr:spPr>
        <a:xfrm>
          <a:off x="3143249" y="923926"/>
          <a:ext cx="1504951" cy="514350"/>
        </a:xfrm>
        <a:prstGeom prst="roundRect">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solidFill>
                <a:schemeClr val="accent2">
                  <a:lumMod val="75000"/>
                </a:schemeClr>
              </a:solidFill>
            </a:rPr>
            <a:t>Average Current</a:t>
          </a:r>
          <a:r>
            <a:rPr lang="en-US" sz="1100" b="1" baseline="0">
              <a:solidFill>
                <a:schemeClr val="accent2">
                  <a:lumMod val="75000"/>
                </a:schemeClr>
              </a:solidFill>
            </a:rPr>
            <a:t> Price</a:t>
          </a:r>
          <a:br>
            <a:rPr lang="en-US" sz="1100" b="1" baseline="0">
              <a:solidFill>
                <a:schemeClr val="accent2">
                  <a:lumMod val="75000"/>
                </a:schemeClr>
              </a:solidFill>
            </a:rPr>
          </a:br>
          <a:r>
            <a:rPr lang="en-US" sz="1100" b="1" baseline="0">
              <a:solidFill>
                <a:schemeClr val="accent2">
                  <a:lumMod val="75000"/>
                </a:schemeClr>
              </a:solidFill>
            </a:rPr>
            <a:t>1181.37</a:t>
          </a:r>
          <a:endParaRPr lang="en-US" sz="1100" b="1">
            <a:solidFill>
              <a:schemeClr val="accent2">
                <a:lumMod val="75000"/>
              </a:schemeClr>
            </a:solidFill>
          </a:endParaRPr>
        </a:p>
      </xdr:txBody>
    </xdr:sp>
    <xdr:clientData/>
  </xdr:twoCellAnchor>
  <xdr:twoCellAnchor>
    <xdr:from>
      <xdr:col>7</xdr:col>
      <xdr:colOff>514350</xdr:colOff>
      <xdr:row>4</xdr:row>
      <xdr:rowOff>152400</xdr:rowOff>
    </xdr:from>
    <xdr:to>
      <xdr:col>9</xdr:col>
      <xdr:colOff>542925</xdr:colOff>
      <xdr:row>7</xdr:row>
      <xdr:rowOff>104775</xdr:rowOff>
    </xdr:to>
    <xdr:sp macro="" textlink="">
      <xdr:nvSpPr>
        <xdr:cNvPr id="6" name="Rectangle: Rounded Corners 5">
          <a:extLst>
            <a:ext uri="{FF2B5EF4-FFF2-40B4-BE49-F238E27FC236}">
              <a16:creationId xmlns:a16="http://schemas.microsoft.com/office/drawing/2014/main" id="{02083384-FB50-BF06-3DC1-07CB8C62B929}"/>
            </a:ext>
          </a:extLst>
        </xdr:cNvPr>
        <xdr:cNvSpPr/>
      </xdr:nvSpPr>
      <xdr:spPr>
        <a:xfrm>
          <a:off x="4781550" y="914400"/>
          <a:ext cx="1247775" cy="523875"/>
        </a:xfrm>
        <a:prstGeom prst="roundRect">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solidFill>
                <a:schemeClr val="accent2">
                  <a:lumMod val="75000"/>
                </a:schemeClr>
              </a:solidFill>
            </a:rPr>
            <a:t>Average Discount</a:t>
          </a:r>
          <a:br>
            <a:rPr lang="en-US" sz="1100" b="1">
              <a:solidFill>
                <a:schemeClr val="accent2">
                  <a:lumMod val="75000"/>
                </a:schemeClr>
              </a:solidFill>
            </a:rPr>
          </a:br>
          <a:r>
            <a:rPr lang="en-US" sz="1100" b="1">
              <a:solidFill>
                <a:schemeClr val="accent2">
                  <a:lumMod val="75000"/>
                </a:schemeClr>
              </a:solidFill>
            </a:rPr>
            <a:t>36.77%</a:t>
          </a:r>
        </a:p>
      </xdr:txBody>
    </xdr:sp>
    <xdr:clientData/>
  </xdr:twoCellAnchor>
  <xdr:twoCellAnchor>
    <xdr:from>
      <xdr:col>10</xdr:col>
      <xdr:colOff>57150</xdr:colOff>
      <xdr:row>4</xdr:row>
      <xdr:rowOff>152401</xdr:rowOff>
    </xdr:from>
    <xdr:to>
      <xdr:col>11</xdr:col>
      <xdr:colOff>561975</xdr:colOff>
      <xdr:row>7</xdr:row>
      <xdr:rowOff>104775</xdr:rowOff>
    </xdr:to>
    <xdr:sp macro="" textlink="">
      <xdr:nvSpPr>
        <xdr:cNvPr id="7" name="Rectangle: Rounded Corners 6">
          <a:extLst>
            <a:ext uri="{FF2B5EF4-FFF2-40B4-BE49-F238E27FC236}">
              <a16:creationId xmlns:a16="http://schemas.microsoft.com/office/drawing/2014/main" id="{1E32B3AA-5514-3E9D-04BC-C983962B2827}"/>
            </a:ext>
          </a:extLst>
        </xdr:cNvPr>
        <xdr:cNvSpPr/>
      </xdr:nvSpPr>
      <xdr:spPr>
        <a:xfrm>
          <a:off x="6153150" y="914401"/>
          <a:ext cx="1114425" cy="523874"/>
        </a:xfrm>
        <a:prstGeom prst="roundRect">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solidFill>
                <a:schemeClr val="accent2">
                  <a:lumMod val="75000"/>
                </a:schemeClr>
              </a:solidFill>
            </a:rPr>
            <a:t>Average  Rating</a:t>
          </a:r>
          <a:br>
            <a:rPr lang="en-US" sz="1100" b="1">
              <a:solidFill>
                <a:schemeClr val="accent2">
                  <a:lumMod val="75000"/>
                </a:schemeClr>
              </a:solidFill>
            </a:rPr>
          </a:br>
          <a:r>
            <a:rPr lang="en-US" sz="1100" b="1">
              <a:solidFill>
                <a:schemeClr val="accent2">
                  <a:lumMod val="75000"/>
                </a:schemeClr>
              </a:solidFill>
            </a:rPr>
            <a:t>3.88</a:t>
          </a:r>
        </a:p>
      </xdr:txBody>
    </xdr:sp>
    <xdr:clientData/>
  </xdr:twoCellAnchor>
  <xdr:twoCellAnchor>
    <xdr:from>
      <xdr:col>12</xdr:col>
      <xdr:colOff>57150</xdr:colOff>
      <xdr:row>4</xdr:row>
      <xdr:rowOff>133350</xdr:rowOff>
    </xdr:from>
    <xdr:to>
      <xdr:col>14</xdr:col>
      <xdr:colOff>390525</xdr:colOff>
      <xdr:row>7</xdr:row>
      <xdr:rowOff>104775</xdr:rowOff>
    </xdr:to>
    <xdr:sp macro="" textlink="">
      <xdr:nvSpPr>
        <xdr:cNvPr id="8" name="Rectangle: Rounded Corners 7">
          <a:extLst>
            <a:ext uri="{FF2B5EF4-FFF2-40B4-BE49-F238E27FC236}">
              <a16:creationId xmlns:a16="http://schemas.microsoft.com/office/drawing/2014/main" id="{A4B79400-5364-86E3-06B1-8B615F4EA1EC}"/>
            </a:ext>
          </a:extLst>
        </xdr:cNvPr>
        <xdr:cNvSpPr/>
      </xdr:nvSpPr>
      <xdr:spPr>
        <a:xfrm>
          <a:off x="7372350" y="895350"/>
          <a:ext cx="1552575" cy="542925"/>
        </a:xfrm>
        <a:prstGeom prst="roundRect">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solidFill>
                <a:schemeClr val="accent2">
                  <a:lumMod val="75000"/>
                </a:schemeClr>
              </a:solidFill>
            </a:rPr>
            <a:t>Total Reviews</a:t>
          </a:r>
          <a:br>
            <a:rPr lang="en-US" sz="1100" b="1">
              <a:solidFill>
                <a:schemeClr val="accent2">
                  <a:lumMod val="75000"/>
                </a:schemeClr>
              </a:solidFill>
            </a:rPr>
          </a:br>
          <a:r>
            <a:rPr lang="en-US" sz="1100" b="1">
              <a:solidFill>
                <a:schemeClr val="accent2">
                  <a:lumMod val="75000"/>
                </a:schemeClr>
              </a:solidFill>
            </a:rPr>
            <a:t>721</a:t>
          </a:r>
        </a:p>
      </xdr:txBody>
    </xdr:sp>
    <xdr:clientData/>
  </xdr:twoCellAnchor>
  <xdr:twoCellAnchor>
    <xdr:from>
      <xdr:col>0</xdr:col>
      <xdr:colOff>142875</xdr:colOff>
      <xdr:row>10</xdr:row>
      <xdr:rowOff>9525</xdr:rowOff>
    </xdr:from>
    <xdr:to>
      <xdr:col>15</xdr:col>
      <xdr:colOff>47626</xdr:colOff>
      <xdr:row>47</xdr:row>
      <xdr:rowOff>28575</xdr:rowOff>
    </xdr:to>
    <xdr:grpSp>
      <xdr:nvGrpSpPr>
        <xdr:cNvPr id="17" name="Group 16">
          <a:extLst>
            <a:ext uri="{FF2B5EF4-FFF2-40B4-BE49-F238E27FC236}">
              <a16:creationId xmlns:a16="http://schemas.microsoft.com/office/drawing/2014/main" id="{FED5C2E9-1D86-71BF-2930-C0D02E616574}"/>
            </a:ext>
          </a:extLst>
        </xdr:cNvPr>
        <xdr:cNvGrpSpPr/>
      </xdr:nvGrpSpPr>
      <xdr:grpSpPr>
        <a:xfrm>
          <a:off x="142875" y="1914525"/>
          <a:ext cx="9048751" cy="7067550"/>
          <a:chOff x="142875" y="1914525"/>
          <a:chExt cx="9048751" cy="7067550"/>
        </a:xfrm>
      </xdr:grpSpPr>
      <xdr:graphicFrame macro="">
        <xdr:nvGraphicFramePr>
          <xdr:cNvPr id="9" name="Chart 8">
            <a:extLst>
              <a:ext uri="{FF2B5EF4-FFF2-40B4-BE49-F238E27FC236}">
                <a16:creationId xmlns:a16="http://schemas.microsoft.com/office/drawing/2014/main" id="{B20B19E9-AC96-41E6-B930-39E774D6B1B9}"/>
              </a:ext>
            </a:extLst>
          </xdr:cNvPr>
          <xdr:cNvGraphicFramePr>
            <a:graphicFrameLocks/>
          </xdr:cNvGraphicFramePr>
        </xdr:nvGraphicFramePr>
        <xdr:xfrm>
          <a:off x="6715126" y="1914525"/>
          <a:ext cx="2428874" cy="2066925"/>
        </xdr:xfrm>
        <a:graphic>
          <a:graphicData uri="http://schemas.openxmlformats.org/drawingml/2006/chart">
            <c:chart xmlns:c="http://schemas.openxmlformats.org/drawingml/2006/chart" xmlns:r="http://schemas.openxmlformats.org/officeDocument/2006/relationships" r:id="rId1"/>
          </a:graphicData>
        </a:graphic>
      </xdr:graphicFrame>
      <xdr:graphicFrame macro="">
        <xdr:nvGraphicFramePr>
          <xdr:cNvPr id="10" name="Chart 9">
            <a:extLst>
              <a:ext uri="{FF2B5EF4-FFF2-40B4-BE49-F238E27FC236}">
                <a16:creationId xmlns:a16="http://schemas.microsoft.com/office/drawing/2014/main" id="{44234DB5-4B0B-4EA1-BB97-1940DAC38F66}"/>
              </a:ext>
            </a:extLst>
          </xdr:cNvPr>
          <xdr:cNvGraphicFramePr>
            <a:graphicFrameLocks/>
          </xdr:cNvGraphicFramePr>
        </xdr:nvGraphicFramePr>
        <xdr:xfrm>
          <a:off x="6715125" y="4200526"/>
          <a:ext cx="2466975" cy="2105024"/>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11" name="Chart 10">
            <a:extLst>
              <a:ext uri="{FF2B5EF4-FFF2-40B4-BE49-F238E27FC236}">
                <a16:creationId xmlns:a16="http://schemas.microsoft.com/office/drawing/2014/main" id="{D46F5AFE-46EC-40F9-9775-D01CF79D1A9A}"/>
              </a:ext>
            </a:extLst>
          </xdr:cNvPr>
          <xdr:cNvGraphicFramePr>
            <a:graphicFrameLocks/>
          </xdr:cNvGraphicFramePr>
        </xdr:nvGraphicFramePr>
        <xdr:xfrm>
          <a:off x="6715126" y="6496050"/>
          <a:ext cx="2476500" cy="2486025"/>
        </xdr:xfrm>
        <a:graphic>
          <a:graphicData uri="http://schemas.openxmlformats.org/drawingml/2006/chart">
            <c:chart xmlns:c="http://schemas.openxmlformats.org/drawingml/2006/chart" xmlns:r="http://schemas.openxmlformats.org/officeDocument/2006/relationships" r:id="rId3"/>
          </a:graphicData>
        </a:graphic>
      </xdr:graphicFrame>
      <xdr:graphicFrame macro="">
        <xdr:nvGraphicFramePr>
          <xdr:cNvPr id="13" name="Chart 12">
            <a:extLst>
              <a:ext uri="{FF2B5EF4-FFF2-40B4-BE49-F238E27FC236}">
                <a16:creationId xmlns:a16="http://schemas.microsoft.com/office/drawing/2014/main" id="{6CAF7370-AF61-41DA-848A-D0881302B6D6}"/>
              </a:ext>
            </a:extLst>
          </xdr:cNvPr>
          <xdr:cNvGraphicFramePr>
            <a:graphicFrameLocks/>
          </xdr:cNvGraphicFramePr>
        </xdr:nvGraphicFramePr>
        <xdr:xfrm>
          <a:off x="2076450" y="1914525"/>
          <a:ext cx="4572000" cy="2743200"/>
        </xdr:xfrm>
        <a:graphic>
          <a:graphicData uri="http://schemas.openxmlformats.org/drawingml/2006/chart">
            <c:chart xmlns:c="http://schemas.openxmlformats.org/drawingml/2006/chart" xmlns:r="http://schemas.openxmlformats.org/officeDocument/2006/relationships" r:id="rId4"/>
          </a:graphicData>
        </a:graphic>
      </xdr:graphicFrame>
      <xdr:graphicFrame macro="">
        <xdr:nvGraphicFramePr>
          <xdr:cNvPr id="14" name="Chart 13">
            <a:extLst>
              <a:ext uri="{FF2B5EF4-FFF2-40B4-BE49-F238E27FC236}">
                <a16:creationId xmlns:a16="http://schemas.microsoft.com/office/drawing/2014/main" id="{86E0EADF-9D83-4D4E-9C0A-F05D273949C8}"/>
              </a:ext>
            </a:extLst>
          </xdr:cNvPr>
          <xdr:cNvGraphicFramePr>
            <a:graphicFrameLocks/>
          </xdr:cNvGraphicFramePr>
        </xdr:nvGraphicFramePr>
        <xdr:xfrm>
          <a:off x="2066925" y="4724400"/>
          <a:ext cx="4572000" cy="2743200"/>
        </xdr:xfrm>
        <a:graphic>
          <a:graphicData uri="http://schemas.openxmlformats.org/drawingml/2006/chart">
            <c:chart xmlns:c="http://schemas.openxmlformats.org/drawingml/2006/chart" xmlns:r="http://schemas.openxmlformats.org/officeDocument/2006/relationships" r:id="rId5"/>
          </a:graphicData>
        </a:graphic>
      </xdr:graphicFrame>
      <mc:AlternateContent xmlns:mc="http://schemas.openxmlformats.org/markup-compatibility/2006">
        <mc:Choice xmlns:a14="http://schemas.microsoft.com/office/drawing/2010/main" Requires="a14">
          <xdr:graphicFrame macro="">
            <xdr:nvGraphicFramePr>
              <xdr:cNvPr id="16" name="Price Categpry 1">
                <a:extLst>
                  <a:ext uri="{FF2B5EF4-FFF2-40B4-BE49-F238E27FC236}">
                    <a16:creationId xmlns:a16="http://schemas.microsoft.com/office/drawing/2014/main" id="{550D1BDC-3A76-4CBC-B8FF-13011A62C40C}"/>
                  </a:ext>
                </a:extLst>
              </xdr:cNvPr>
              <xdr:cNvGraphicFramePr/>
            </xdr:nvGraphicFramePr>
            <xdr:xfrm>
              <a:off x="142875" y="3409950"/>
              <a:ext cx="1828800" cy="1590675"/>
            </xdr:xfrm>
            <a:graphic>
              <a:graphicData uri="http://schemas.microsoft.com/office/drawing/2010/slicer">
                <sle:slicer xmlns:sle="http://schemas.microsoft.com/office/drawing/2010/slicer" name="Price Categpry 1"/>
              </a:graphicData>
            </a:graphic>
          </xdr:graphicFrame>
        </mc:Choice>
        <mc:Fallback>
          <xdr:sp macro="" textlink="">
            <xdr:nvSpPr>
              <xdr:cNvPr id="0" name=""/>
              <xdr:cNvSpPr>
                <a:spLocks noTextEdit="1"/>
              </xdr:cNvSpPr>
            </xdr:nvSpPr>
            <xdr:spPr>
              <a:xfrm>
                <a:off x="142875" y="3409950"/>
                <a:ext cx="1828800" cy="15906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editAs="oneCell">
    <xdr:from>
      <xdr:col>0</xdr:col>
      <xdr:colOff>200025</xdr:colOff>
      <xdr:row>6</xdr:row>
      <xdr:rowOff>85726</xdr:rowOff>
    </xdr:from>
    <xdr:to>
      <xdr:col>3</xdr:col>
      <xdr:colOff>200025</xdr:colOff>
      <xdr:row>12</xdr:row>
      <xdr:rowOff>123826</xdr:rowOff>
    </xdr:to>
    <mc:AlternateContent xmlns:mc="http://schemas.openxmlformats.org/markup-compatibility/2006">
      <mc:Choice xmlns:a14="http://schemas.microsoft.com/office/drawing/2010/main" Requires="a14">
        <xdr:graphicFrame macro="">
          <xdr:nvGraphicFramePr>
            <xdr:cNvPr id="19" name="Discount Category 1">
              <a:extLst>
                <a:ext uri="{FF2B5EF4-FFF2-40B4-BE49-F238E27FC236}">
                  <a16:creationId xmlns:a16="http://schemas.microsoft.com/office/drawing/2014/main" id="{6C58C753-41D2-46DD-869F-955714E3F942}"/>
                </a:ext>
              </a:extLst>
            </xdr:cNvPr>
            <xdr:cNvGraphicFramePr/>
          </xdr:nvGraphicFramePr>
          <xdr:xfrm>
            <a:off x="0" y="0"/>
            <a:ext cx="0" cy="0"/>
          </xdr:xfrm>
          <a:graphic>
            <a:graphicData uri="http://schemas.microsoft.com/office/drawing/2010/slicer">
              <sle:slicer xmlns:sle="http://schemas.microsoft.com/office/drawing/2010/slicer" name="Discount Category 1"/>
            </a:graphicData>
          </a:graphic>
        </xdr:graphicFrame>
      </mc:Choice>
      <mc:Fallback>
        <xdr:sp macro="" textlink="">
          <xdr:nvSpPr>
            <xdr:cNvPr id="0" name=""/>
            <xdr:cNvSpPr>
              <a:spLocks noTextEdit="1"/>
            </xdr:cNvSpPr>
          </xdr:nvSpPr>
          <xdr:spPr>
            <a:xfrm>
              <a:off x="200025" y="1228726"/>
              <a:ext cx="1828800" cy="11811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2" Type="http://schemas.microsoft.com/office/2006/relationships/xlExternalLinkPath/xlPathMissing" Target="Excel_jumia_dataset%20Current%20(Recovered).csv" TargetMode="External"/><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2" Type="http://schemas.microsoft.com/office/2006/relationships/xlExternalLinkPath/xlPathMissing" Target="Excel_jumia_dataset%20Current%20(Recovered).csv" TargetMode="External"/><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OLPH OMONDI" refreshedDate="46272.061129050926" createdVersion="8" refreshedVersion="8" minRefreshableVersion="3" recordCount="111" xr:uid="{834C3DAF-8C33-4EC7-8893-FF78D6A96D73}">
  <cacheSource type="worksheet">
    <worksheetSource ref="A1:J112" sheet="Excel_jumia_dataset Current (Re" r:id="rId2"/>
  </cacheSource>
  <cacheFields count="10">
    <cacheField name="Product" numFmtId="1">
      <sharedItems count="108">
        <s v="LASA Aluminum Folding Truck Hand Cart - 68kg Max"/>
        <s v="Classic Black Cat Cotton Hemp Pillow Case For Home Car"/>
        <s v="Peacock  Throw Pillow Cushion Case For Home Car"/>
        <s v="Anti-Skid Absorbent Insulation Coaster  For Home Office"/>
        <s v="Bedroom Simple Floor Hanging Clothes Rack Single Pole Hat Rack - White"/>
        <s v="DIY File Folder, Office Drawer File Holder, Pen Holder, Desktop Storage Rack"/>
        <s v="Konka Healty Electric Kettle, 24-hour Heat Preservation,1.5L,800W, White"/>
        <s v="40cm Gold DIY Acrylic Wall Sticker Clock"/>
        <s v="LASA FOLDING TABLE SERVING STAND"/>
        <s v="Portable Home Small Air Humidifier 3-Speed Fan - Green"/>
        <s v="100 Pcs Crochet Hook Tool Set Knitting Hook Set With Box"/>
        <s v="53Pcs/Set Yarn Knitting Crochet Hooks With Bag - Fortune Cat"/>
        <s v="12 Litre Insulated Lunch Box Grey"/>
        <s v="Weighing Scale Digital Bathroom Body Fat Scale USB-Black"/>
        <s v="137 Pieces Cake Decorating Tool Set Baking Supplies"/>
        <s v="Electronic Digital Display Vernier Caliper"/>
        <s v="3D Waterproof EVA Plastic Shower Curtain 1.8*2Mtrs"/>
        <s v="Portable Mini Cordless Car Vacuum Cleaner - Blue"/>
        <s v="LED Wall Digital Alarm Clock Study Home 12 / 24H Clock Calendar"/>
        <s v="53 Pieces/Set Yarn Knitting Crochet Hooks With Bag - Pansies"/>
        <s v="LASA Digital Thermometer And Hydrometer"/>
        <s v="115  Piece Set Of Multifunctional Precision Screwdrivers"/>
        <s v="Foldable Overbed Table/Desk"/>
        <s v="Punch-free Great Load Bearing Bathroom Storage Rack Wall Shelf-White"/>
        <s v="Exfoliate And Exfoliate Face Towel - Black"/>
        <s v="LED Eye Protection  Desk Lamp , Study, Reading, USB Fan - Double Pen Holder"/>
        <s v="LASA 3 Tier Bamboo Shoe Bench Storage Shelf"/>
        <s v="Multifunction Laser Level With Adjustment Tripod"/>
        <s v="52 Pieces Cake Decorating Tool Set Gift Kit Baking Supplies"/>
        <s v="Metal Decorative Hooks Key Hangers Entryway Wall Hooks Towel Hooks - Home"/>
        <s v="Genebre 115 In 1 Screwdriver Repairing Tool Set For IPhone Cellphone Hand Tool"/>
        <s v="220V 60W Electric Soldering Iron Kits With Tools, Tips, And Multimeter"/>
        <s v="LED Romantic Spaceship Starry Sky Projector,Children's Bedroom Night Light-Blue"/>
        <s v="Desk Foldable Fan Adjustable Fan Strong Wind 3 Gear Usb"/>
        <s v="Household Pineapple Peeler Peeler"/>
        <s v="12 Litre Black Insulated Lunch Box"/>
        <s v="Portable Wardrobe Nonwoven With 3 Hanging Rods And 6 Storage Shelves"/>
        <s v="13 In 1 Home Repair Tools Box Kit Set"/>
        <s v="3PCS Single Head Knitting Crochet Sweater Needle Set"/>
        <s v="Mythco 120COB Solar Wall Ligt With Motion Sensor And Remote Control 3 Modes"/>
        <s v="Wrought Iron Bathroom Shelf Wall Mounted Free Punch Toilet Rack"/>
        <s v="Large Lazy Inflatable Sofa Chairs PVC Lounger Seat Bag"/>
        <s v="32PCS Portable Cordless Drill Set With Cyclic Battery Drive -26 Variable Speed"/>
        <s v="Memory Foam Neck Pillow Cover, With Pillow Core - 50*30cm"/>
        <s v="VIC Wireless Vacuum Cleaner Dual Use For Home And Car 120W High Power Powerful"/>
        <s v="120W Cordless Vacuum Cleaners Handheld Electric Vacuum Cleaner"/>
        <s v="Intelligent  LED Body Sensor Wireless Lighting Night Light USB"/>
        <s v="Agapeon Toothbrush Holder And Toothpaste Dispenser"/>
        <s v="5 Pieces/set Of Stainless Steel Induction Cooker Pots"/>
        <s v="380ML USB Rechargeable Portable Small Blenders And Juicers"/>
        <s v="Watercolour Gold Foil Textured Print Pillow Cover"/>
        <s v="7-piece Set Of Storage Bags, Travel Storage Bags, Shoe Bags"/>
        <s v="Artificial Potted Flowers Room Decorative Flowers (2 Pieces)"/>
        <s v="5-PCS Stainless Steel Cooking Pot Set With Steamed Slices"/>
        <s v="Electric LED UV Mosquito Killer Lamp, Outdoor/Indoor Fly Killer Trap Light -USB"/>
        <s v="Wall-mounted Sticker Punch-free Plug Fixer"/>
        <s v="Sewing Machine Needle Threader Stitch Insertion Tool Automatic Quick Sewing"/>
        <s v="Black Simple Water Cup Wine Coaster Anti Slip Absorbent"/>
        <s v="Creative Owl Shape Keychain Black"/>
        <s v="1PC Refrigerator Food Seal Pocket Fridge Bags"/>
        <s v="6 In 1 Bottle Can Opener Multifunctional Easy Opener"/>
        <s v="7PCS Silicone Thumb Knife Finger Protector Vegetable Harvesting Knife"/>
        <s v="Modern Sofa Throw Pillow Cover-45x45cm-Blue&amp;Red"/>
        <s v="4 Piece Coloured Stainless Steel Kitchenware Set"/>
        <s v="Cartoon Car Decoration Cute Individuality For Car Home Desk"/>
        <s v="Pilates Cloth Bag Waterproof Durable High Capacity Purple"/>
        <s v="Brush &amp; Paintbrush Cleaning Tool Pink"/>
        <s v="Simple Metal Dog Art Sculpture Decoration For Home Office"/>
        <s v="4M Float Switch Water Level Controller -Water Tank"/>
        <s v="Baby Early Education Shape And Color Cognitive Training Toys"/>
        <s v="Balloon Insert, Birthday Party Balloon Set, PU Leather"/>
        <s v="Multifunctional Hanging Storage Box Storage Bag (4 Layers)"/>
        <s v="Angle Measuring Tool Full Metal Multi Angle Measuring Tool"/>
        <s v="Car Phone Charging Stand"/>
        <s v="3PCS Rotary Scraper Thermomix For Kitchen"/>
        <s v="Christmas Fence Garden Decorations Outdoor For Holiday Home"/>
        <s v="2PCS/LOT Solar LED Outdoor Intelligent Light Controlled Wall Lamp"/>
        <s v="Outdoor Portable Water Bottle With Medicine Box - 600ML - Black"/>
        <s v="Cute Christmas Fence Garden Decorations For Holiday Home"/>
        <s v="Wall Clock With Hidden Safe Box"/>
        <s v="6 Layers Steel Pipe Assembling Dustproof Storage Shoe Cabinet"/>
        <s v="Christmas Elk Fence Yard Lawn Decorations Cute For Holidays"/>
        <s v="8in1 Screwdriver With LED Light"/>
        <s v="LED Solar Street Light-fake Camera"/>
        <s v="60W Hot Melt Glue Sprayer - Efficient And Stable Glue Dispensing"/>
        <s v="Cartoon Embroidered Mini Towel Bear Cotton Wash Cloth Hand 4pcs"/>
        <s v="2pcs Solar Street Light Flood Light Outdoor"/>
        <s v="2PCS Ice Silk Square Cushion Cover Pillowcases - 65x65cm"/>
        <s v="Portable Wine Table With Folding Round Table"/>
        <s v="9pcs Gas Mask, For Painting, Dust, Formaldehyde Grinding, Polishing"/>
        <s v="Multi-purpose Rice Drainage Basket And Fruit And Vegetable Drainage Sieve"/>
        <s v="5m Waterproof Spherical LED String Lights Outdoor Ball Chain Lights Party Lighting Decoration Adjustable"/>
        <s v="Portable Soap Dispenser Kitchen Detergent Press Box Kitchen Tools"/>
        <s v="Office Chair Lumbar Back Support Spine Posture Correction Pillow Car Cushion"/>
        <s v="Wall-Mounted Toothbrush Toothpaste Holder With Multiple Slots"/>
        <s v="Wall Mount Automatic Toothpaste Dispenser Toothbrush Holder Toothpaste Squeezer"/>
        <s v="Shower Nozzle Cleaning Unclogging Needle Mini Crevice Small Hole Cleaning Brush"/>
        <s v="Pen Grips For Kids Pen Grip Posture Correction Tool For Kids"/>
        <s v="2 Pairs Cowhide Split Leather Work Gloves.32â„‰ Or Above Welding Gloves"/>
        <s v="Cushion Silicone Butt Cushion Summer Ice Cushion Honeycomb Gel Cushion"/>
        <s v="Thickening Multipurpose Non Stick Easy To Clean Heat Resistant Spoon Pad"/>
        <s v="4pcs Bathroom/Kitchen Towel Rack,Roll Paper Holder,Towel Bars,Hook"/>
        <s v="24 Grid Wall-mounted Sundries Organiser Fabric Closet Bag Storage Rack"/>
        <s v="Shower Cap Wide Elastic Band Cover Reusable Bashroom Cap"/>
        <s v="MultiFunctional Storage Rack Multi-layer Bookshelf"/>
        <s v="LASA Stainless Steel Double Wall Mount Soap Dispenser - 500ml"/>
        <s v="12V 19500rpm Handheld Electric Angle Grinder Tool - UK - Yellow/Black"/>
        <s v="Metal Wall Clock Silver Dial Crystal Jewelry Round Home Decoration Wall Clock"/>
      </sharedItems>
    </cacheField>
    <cacheField name="Current price" numFmtId="165">
      <sharedItems containsSemiMixedTypes="0" containsString="0" containsNumber="1" containsInteger="1" minValue="38" maxValue="3750"/>
    </cacheField>
    <cacheField name="Old Price" numFmtId="165">
      <sharedItems containsSemiMixedTypes="0" containsString="0" containsNumber="1" containsInteger="1" minValue="80" maxValue="6143"/>
    </cacheField>
    <cacheField name="Discount" numFmtId="9">
      <sharedItems containsSemiMixedTypes="0" containsString="0" containsNumber="1" minValue="0.01" maxValue="0.64"/>
    </cacheField>
    <cacheField name="Review" numFmtId="1">
      <sharedItems containsString="0" containsBlank="1" containsNumber="1" containsInteger="1" minValue="1" maxValue="69"/>
    </cacheField>
    <cacheField name="Ratings" numFmtId="164">
      <sharedItems containsString="0" containsBlank="1" containsNumber="1" minValue="2" maxValue="5"/>
    </cacheField>
    <cacheField name="Discount Amount" numFmtId="165">
      <sharedItems containsSemiMixedTypes="0" containsString="0" containsNumber="1" containsInteger="1" minValue="24" maxValue="2585"/>
    </cacheField>
    <cacheField name="Rating Category" numFmtId="0">
      <sharedItems containsBlank="1"/>
    </cacheField>
    <cacheField name="Discount Category" numFmtId="0">
      <sharedItems count="3">
        <s v="High Discount"/>
        <s v="Medium Discount"/>
        <s v="Low Discount"/>
      </sharedItems>
    </cacheField>
    <cacheField name="Price Categpry" numFmtId="0">
      <sharedItems/>
    </cacheField>
  </cacheFields>
  <extLst>
    <ext xmlns:x14="http://schemas.microsoft.com/office/spreadsheetml/2009/9/main" uri="{725AE2AE-9491-48be-B2B4-4EB974FC3084}">
      <x14:pivotCacheDefinition pivotCacheId="2065730278"/>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OLPH OMONDI" refreshedDate="46272.062430902777" createdVersion="8" refreshedVersion="8" minRefreshableVersion="3" recordCount="111" xr:uid="{25E5FB72-6FF3-49A0-9D08-87324FCEF758}">
  <cacheSource type="worksheet">
    <worksheetSource ref="A1:J112" sheet="Excel_jumia_dataset Current (Re" r:id="rId2"/>
  </cacheSource>
  <cacheFields count="10">
    <cacheField name="Product" numFmtId="1">
      <sharedItems count="108">
        <s v="LASA Aluminum Folding Truck Hand Cart - 68kg Max"/>
        <s v="Classic Black Cat Cotton Hemp Pillow Case For Home Car"/>
        <s v="Peacock  Throw Pillow Cushion Case For Home Car"/>
        <s v="Anti-Skid Absorbent Insulation Coaster  For Home Office"/>
        <s v="Bedroom Simple Floor Hanging Clothes Rack Single Pole Hat Rack - White"/>
        <s v="DIY File Folder, Office Drawer File Holder, Pen Holder, Desktop Storage Rack"/>
        <s v="Konka Healty Electric Kettle, 24-hour Heat Preservation,1.5L,800W, White"/>
        <s v="40cm Gold DIY Acrylic Wall Sticker Clock"/>
        <s v="LASA FOLDING TABLE SERVING STAND"/>
        <s v="Portable Home Small Air Humidifier 3-Speed Fan - Green"/>
        <s v="100 Pcs Crochet Hook Tool Set Knitting Hook Set With Box"/>
        <s v="53Pcs/Set Yarn Knitting Crochet Hooks With Bag - Fortune Cat"/>
        <s v="12 Litre Insulated Lunch Box Grey"/>
        <s v="Weighing Scale Digital Bathroom Body Fat Scale USB-Black"/>
        <s v="137 Pieces Cake Decorating Tool Set Baking Supplies"/>
        <s v="Electronic Digital Display Vernier Caliper"/>
        <s v="3D Waterproof EVA Plastic Shower Curtain 1.8*2Mtrs"/>
        <s v="Portable Mini Cordless Car Vacuum Cleaner - Blue"/>
        <s v="LED Wall Digital Alarm Clock Study Home 12 / 24H Clock Calendar"/>
        <s v="53 Pieces/Set Yarn Knitting Crochet Hooks With Bag - Pansies"/>
        <s v="LASA Digital Thermometer And Hydrometer"/>
        <s v="115  Piece Set Of Multifunctional Precision Screwdrivers"/>
        <s v="Foldable Overbed Table/Desk"/>
        <s v="Punch-free Great Load Bearing Bathroom Storage Rack Wall Shelf-White"/>
        <s v="Exfoliate And Exfoliate Face Towel - Black"/>
        <s v="LED Eye Protection  Desk Lamp , Study, Reading, USB Fan - Double Pen Holder"/>
        <s v="LASA 3 Tier Bamboo Shoe Bench Storage Shelf"/>
        <s v="Multifunction Laser Level With Adjustment Tripod"/>
        <s v="52 Pieces Cake Decorating Tool Set Gift Kit Baking Supplies"/>
        <s v="Metal Decorative Hooks Key Hangers Entryway Wall Hooks Towel Hooks - Home"/>
        <s v="Genebre 115 In 1 Screwdriver Repairing Tool Set For IPhone Cellphone Hand Tool"/>
        <s v="220V 60W Electric Soldering Iron Kits With Tools, Tips, And Multimeter"/>
        <s v="LED Romantic Spaceship Starry Sky Projector,Children's Bedroom Night Light-Blue"/>
        <s v="Desk Foldable Fan Adjustable Fan Strong Wind 3 Gear Usb"/>
        <s v="Household Pineapple Peeler Peeler"/>
        <s v="12 Litre Black Insulated Lunch Box"/>
        <s v="Portable Wardrobe Nonwoven With 3 Hanging Rods And 6 Storage Shelves"/>
        <s v="13 In 1 Home Repair Tools Box Kit Set"/>
        <s v="3PCS Single Head Knitting Crochet Sweater Needle Set"/>
        <s v="Mythco 120COB Solar Wall Ligt With Motion Sensor And Remote Control 3 Modes"/>
        <s v="Wrought Iron Bathroom Shelf Wall Mounted Free Punch Toilet Rack"/>
        <s v="Large Lazy Inflatable Sofa Chairs PVC Lounger Seat Bag"/>
        <s v="32PCS Portable Cordless Drill Set With Cyclic Battery Drive -26 Variable Speed"/>
        <s v="Memory Foam Neck Pillow Cover, With Pillow Core - 50*30cm"/>
        <s v="VIC Wireless Vacuum Cleaner Dual Use For Home And Car 120W High Power Powerful"/>
        <s v="120W Cordless Vacuum Cleaners Handheld Electric Vacuum Cleaner"/>
        <s v="Intelligent  LED Body Sensor Wireless Lighting Night Light USB"/>
        <s v="Agapeon Toothbrush Holder And Toothpaste Dispenser"/>
        <s v="5 Pieces/set Of Stainless Steel Induction Cooker Pots"/>
        <s v="380ML USB Rechargeable Portable Small Blenders And Juicers"/>
        <s v="Watercolour Gold Foil Textured Print Pillow Cover"/>
        <s v="7-piece Set Of Storage Bags, Travel Storage Bags, Shoe Bags"/>
        <s v="Artificial Potted Flowers Room Decorative Flowers (2 Pieces)"/>
        <s v="5-PCS Stainless Steel Cooking Pot Set With Steamed Slices"/>
        <s v="Electric LED UV Mosquito Killer Lamp, Outdoor/Indoor Fly Killer Trap Light -USB"/>
        <s v="Wall-mounted Sticker Punch-free Plug Fixer"/>
        <s v="Sewing Machine Needle Threader Stitch Insertion Tool Automatic Quick Sewing"/>
        <s v="Black Simple Water Cup Wine Coaster Anti Slip Absorbent"/>
        <s v="Creative Owl Shape Keychain Black"/>
        <s v="1PC Refrigerator Food Seal Pocket Fridge Bags"/>
        <s v="6 In 1 Bottle Can Opener Multifunctional Easy Opener"/>
        <s v="7PCS Silicone Thumb Knife Finger Protector Vegetable Harvesting Knife"/>
        <s v="Modern Sofa Throw Pillow Cover-45x45cm-Blue&amp;Red"/>
        <s v="4 Piece Coloured Stainless Steel Kitchenware Set"/>
        <s v="Cartoon Car Decoration Cute Individuality For Car Home Desk"/>
        <s v="Pilates Cloth Bag Waterproof Durable High Capacity Purple"/>
        <s v="Brush &amp; Paintbrush Cleaning Tool Pink"/>
        <s v="Simple Metal Dog Art Sculpture Decoration For Home Office"/>
        <s v="4M Float Switch Water Level Controller -Water Tank"/>
        <s v="Baby Early Education Shape And Color Cognitive Training Toys"/>
        <s v="Balloon Insert, Birthday Party Balloon Set, PU Leather"/>
        <s v="Multifunctional Hanging Storage Box Storage Bag (4 Layers)"/>
        <s v="Angle Measuring Tool Full Metal Multi Angle Measuring Tool"/>
        <s v="Car Phone Charging Stand"/>
        <s v="3PCS Rotary Scraper Thermomix For Kitchen"/>
        <s v="Christmas Fence Garden Decorations Outdoor For Holiday Home"/>
        <s v="2PCS/LOT Solar LED Outdoor Intelligent Light Controlled Wall Lamp"/>
        <s v="Outdoor Portable Water Bottle With Medicine Box - 600ML - Black"/>
        <s v="Cute Christmas Fence Garden Decorations For Holiday Home"/>
        <s v="Wall Clock With Hidden Safe Box"/>
        <s v="6 Layers Steel Pipe Assembling Dustproof Storage Shoe Cabinet"/>
        <s v="Christmas Elk Fence Yard Lawn Decorations Cute For Holidays"/>
        <s v="8in1 Screwdriver With LED Light"/>
        <s v="LED Solar Street Light-fake Camera"/>
        <s v="60W Hot Melt Glue Sprayer - Efficient And Stable Glue Dispensing"/>
        <s v="Cartoon Embroidered Mini Towel Bear Cotton Wash Cloth Hand 4pcs"/>
        <s v="2pcs Solar Street Light Flood Light Outdoor"/>
        <s v="2PCS Ice Silk Square Cushion Cover Pillowcases - 65x65cm"/>
        <s v="Portable Wine Table With Folding Round Table"/>
        <s v="9pcs Gas Mask, For Painting, Dust, Formaldehyde Grinding, Polishing"/>
        <s v="Multi-purpose Rice Drainage Basket And Fruit And Vegetable Drainage Sieve"/>
        <s v="5m Waterproof Spherical LED String Lights Outdoor Ball Chain Lights Party Lighting Decoration Adjustable"/>
        <s v="Portable Soap Dispenser Kitchen Detergent Press Box Kitchen Tools"/>
        <s v="Office Chair Lumbar Back Support Spine Posture Correction Pillow Car Cushion"/>
        <s v="Wall-Mounted Toothbrush Toothpaste Holder With Multiple Slots"/>
        <s v="Wall Mount Automatic Toothpaste Dispenser Toothbrush Holder Toothpaste Squeezer"/>
        <s v="Shower Nozzle Cleaning Unclogging Needle Mini Crevice Small Hole Cleaning Brush"/>
        <s v="Pen Grips For Kids Pen Grip Posture Correction Tool For Kids"/>
        <s v="2 Pairs Cowhide Split Leather Work Gloves.32â„‰ Or Above Welding Gloves"/>
        <s v="Cushion Silicone Butt Cushion Summer Ice Cushion Honeycomb Gel Cushion"/>
        <s v="Thickening Multipurpose Non Stick Easy To Clean Heat Resistant Spoon Pad"/>
        <s v="4pcs Bathroom/Kitchen Towel Rack,Roll Paper Holder,Towel Bars,Hook"/>
        <s v="24 Grid Wall-mounted Sundries Organiser Fabric Closet Bag Storage Rack"/>
        <s v="Shower Cap Wide Elastic Band Cover Reusable Bashroom Cap"/>
        <s v="MultiFunctional Storage Rack Multi-layer Bookshelf"/>
        <s v="LASA Stainless Steel Double Wall Mount Soap Dispenser - 500ml"/>
        <s v="12V 19500rpm Handheld Electric Angle Grinder Tool - UK - Yellow/Black"/>
        <s v="Metal Wall Clock Silver Dial Crystal Jewelry Round Home Decoration Wall Clock"/>
      </sharedItems>
    </cacheField>
    <cacheField name="Current price" numFmtId="165">
      <sharedItems containsSemiMixedTypes="0" containsString="0" containsNumber="1" containsInteger="1" minValue="38" maxValue="3750"/>
    </cacheField>
    <cacheField name="Old Price" numFmtId="165">
      <sharedItems containsSemiMixedTypes="0" containsString="0" containsNumber="1" containsInteger="1" minValue="80" maxValue="6143"/>
    </cacheField>
    <cacheField name="Discount" numFmtId="9">
      <sharedItems containsSemiMixedTypes="0" containsString="0" containsNumber="1" minValue="0.01" maxValue="0.64"/>
    </cacheField>
    <cacheField name="Review" numFmtId="1">
      <sharedItems containsString="0" containsBlank="1" containsNumber="1" containsInteger="1" minValue="1" maxValue="69" count="24">
        <n v="3"/>
        <n v="2"/>
        <n v="1"/>
        <n v="12"/>
        <n v="5"/>
        <n v="39"/>
        <n v="20"/>
        <n v="7"/>
        <n v="55"/>
        <n v="49"/>
        <n v="44"/>
        <n v="24"/>
        <n v="32"/>
        <n v="6"/>
        <n v="14"/>
        <n v="36"/>
        <n v="9"/>
        <n v="15"/>
        <n v="13"/>
        <n v="10"/>
        <n v="16"/>
        <n v="69"/>
        <n v="17"/>
        <m/>
      </sharedItems>
    </cacheField>
    <cacheField name="Ratings" numFmtId="164">
      <sharedItems containsString="0" containsBlank="1" containsNumber="1" minValue="2" maxValue="5"/>
    </cacheField>
    <cacheField name="Discount Amount" numFmtId="165">
      <sharedItems containsSemiMixedTypes="0" containsString="0" containsNumber="1" containsInteger="1" minValue="24" maxValue="2585"/>
    </cacheField>
    <cacheField name="Rating Category" numFmtId="0">
      <sharedItems containsBlank="1" count="4">
        <s v="Excellent"/>
        <s v="Average"/>
        <s v="Poor"/>
        <m/>
      </sharedItems>
    </cacheField>
    <cacheField name="Discount Category" numFmtId="0">
      <sharedItems/>
    </cacheField>
    <cacheField name="Price Categpry" numFmtId="0">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OLPH OMONDI" refreshedDate="46272.393914699074" createdVersion="8" refreshedVersion="8" minRefreshableVersion="3" recordCount="111" xr:uid="{19883A4B-DAB7-4CC5-ACEF-82433222E185}">
  <cacheSource type="worksheet">
    <worksheetSource name="Table2"/>
  </cacheSource>
  <cacheFields count="10">
    <cacheField name="Product" numFmtId="1">
      <sharedItems count="108">
        <s v="LASA 3 Tier Bamboo Shoe Bench Storage Shelf"/>
        <s v="Mythco 120COB Solar Wall Ligt With Motion Sensor And Remote Control 3 Modes"/>
        <s v="3PCS Single Head Knitting Crochet Sweater Needle Set"/>
        <s v="Exfoliate And Exfoliate Face Towel - Black"/>
        <s v="Household Pineapple Peeler Peeler"/>
        <s v="LED Eye Protection  Desk Lamp , Study, Reading, USB Fan - Double Pen Holder"/>
        <s v="Metal Decorative Hooks Key Hangers Entryway Wall Hooks Towel Hooks - Home"/>
        <s v="Memory Foam Neck Pillow Cover, With Pillow Core - 50*30cm"/>
        <s v="13 In 1 Home Repair Tools Box Kit Set"/>
        <s v="Wrought Iron Bathroom Shelf Wall Mounted Free Punch Toilet Rack"/>
        <s v="Punch-free Great Load Bearing Bathroom Storage Rack Wall Shelf-White"/>
        <s v="32PCS Portable Cordless Drill Set With Cyclic Battery Drive -26 Variable Speed"/>
        <s v="Desk Foldable Fan Adjustable Fan Strong Wind 3 Gear Usb"/>
        <s v="LED Romantic Spaceship Starry Sky Projector,Children's Bedroom Night Light-Blue"/>
        <s v="Multifunction Laser Level With Adjustment Tripod"/>
        <s v="12 Litre Black Insulated Lunch Box"/>
        <s v="52 Pieces Cake Decorating Tool Set Gift Kit Baking Supplies"/>
        <s v="Large Lazy Inflatable Sofa Chairs PVC Lounger Seat Bag"/>
        <s v="Foldable Overbed Table/Desk"/>
        <s v="Genebre 115 In 1 Screwdriver Repairing Tool Set For IPhone Cellphone Hand Tool"/>
        <s v="Portable Wardrobe Nonwoven With 3 Hanging Rods And 6 Storage Shelves"/>
        <s v="220V 60W Electric Soldering Iron Kits With Tools, Tips, And Multimeter"/>
        <s v="LASA FOLDING TABLE SERVING STAND"/>
        <s v="Classic Black Cat Cotton Hemp Pillow Case For Home Car"/>
        <s v="Anti-Skid Absorbent Insulation Coaster  For Home Office"/>
        <s v="LASA Aluminum Folding Truck Hand Cart - 68kg Max"/>
        <s v="Bedroom Simple Floor Hanging Clothes Rack Single Pole Hat Rack - White"/>
        <s v="3D Waterproof EVA Plastic Shower Curtain 1.8*2Mtrs"/>
        <s v="40cm Gold DIY Acrylic Wall Sticker Clock"/>
        <s v="Peacock  Throw Pillow Cushion Case For Home Car"/>
        <s v="LASA Digital Thermometer And Hydrometer"/>
        <s v="DIY File Folder, Office Drawer File Holder, Pen Holder, Desktop Storage Rack"/>
        <s v="115  Piece Set Of Multifunctional Precision Screwdrivers"/>
        <s v="Weighing Scale Digital Bathroom Body Fat Scale USB-Black"/>
        <s v="Electronic Digital Display Vernier Caliper"/>
        <s v="100 Pcs Crochet Hook Tool Set Knitting Hook Set With Box"/>
        <s v="12 Litre Insulated Lunch Box Grey"/>
        <s v="53Pcs/Set Yarn Knitting Crochet Hooks With Bag - Fortune Cat"/>
        <s v="53 Pieces/Set Yarn Knitting Crochet Hooks With Bag - Pansies"/>
        <s v="Portable Home Small Air Humidifier 3-Speed Fan - Green"/>
        <s v="Portable Mini Cordless Car Vacuum Cleaner - Blue"/>
        <s v="137 Pieces Cake Decorating Tool Set Baking Supplies"/>
        <s v="Konka Healty Electric Kettle, 24-hour Heat Preservation,1.5L,800W, White"/>
        <s v="LED Wall Digital Alarm Clock Study Home 12 / 24H Clock Calendar"/>
        <s v="5-PCS Stainless Steel Cooking Pot Set With Steamed Slices"/>
        <s v="Intelligent  LED Body Sensor Wireless Lighting Night Light USB"/>
        <s v="380ML USB Rechargeable Portable Small Blenders And Juicers"/>
        <s v="Wall-mounted Sticker Punch-free Plug Fixer"/>
        <s v="120W Cordless Vacuum Cleaners Handheld Electric Vacuum Cleaner"/>
        <s v="7-piece Set Of Storage Bags, Travel Storage Bags, Shoe Bags"/>
        <s v="Electric LED UV Mosquito Killer Lamp, Outdoor/Indoor Fly Killer Trap Light -USB"/>
        <s v="Agapeon Toothbrush Holder And Toothpaste Dispenser"/>
        <s v="Artificial Potted Flowers Room Decorative Flowers (2 Pieces)"/>
        <s v="Watercolour Gold Foil Textured Print Pillow Cover"/>
        <s v="VIC Wireless Vacuum Cleaner Dual Use For Home And Car 120W High Power Powerful"/>
        <s v="5 Pieces/set Of Stainless Steel Induction Cooker Pots"/>
        <s v="6 In 1 Bottle Can Opener Multifunctional Easy Opener"/>
        <s v="Creative Owl Shape Keychain Black"/>
        <s v="Simple Metal Dog Art Sculpture Decoration For Home Office"/>
        <s v="Modern Sofa Throw Pillow Cover-45x45cm-Blue&amp;Red"/>
        <s v="Brush &amp; Paintbrush Cleaning Tool Pink"/>
        <s v="Wall Clock With Hidden Safe Box"/>
        <s v="Christmas Elk Fence Yard Lawn Decorations Cute For Holidays"/>
        <s v="2PCS Ice Silk Square Cushion Cover Pillowcases - 65x65cm"/>
        <s v="7PCS Silicone Thumb Knife Finger Protector Vegetable Harvesting Knife"/>
        <s v="4 Piece Coloured Stainless Steel Kitchenware Set"/>
        <s v="Cartoon Car Decoration Cute Individuality For Car Home Desk"/>
        <s v="4M Float Switch Water Level Controller -Water Tank"/>
        <s v="Baby Early Education Shape And Color Cognitive Training Toys"/>
        <s v="Angle Measuring Tool Full Metal Multi Angle Measuring Tool"/>
        <s v="Car Phone Charging Stand"/>
        <s v="Sewing Machine Needle Threader Stitch Insertion Tool Automatic Quick Sewing"/>
        <s v="Christmas Fence Garden Decorations Outdoor For Holiday Home"/>
        <s v="Portable Wine Table With Folding Round Table"/>
        <s v="Black Simple Water Cup Wine Coaster Anti Slip Absorbent"/>
        <s v="2PCS/LOT Solar LED Outdoor Intelligent Light Controlled Wall Lamp"/>
        <s v="6 Layers Steel Pipe Assembling Dustproof Storage Shoe Cabinet"/>
        <s v="MultiFunctional Storage Rack Multi-layer Bookshelf"/>
        <s v="Multifunctional Hanging Storage Box Storage Bag (4 Layers)"/>
        <s v="3PCS Rotary Scraper Thermomix For Kitchen"/>
        <s v="Balloon Insert, Birthday Party Balloon Set, PU Leather"/>
        <s v="8in1 Screwdriver With LED Light"/>
        <s v="4pcs Bathroom/Kitchen Towel Rack,Roll Paper Holder,Towel Bars,Hook"/>
        <s v="Cute Christmas Fence Garden Decorations For Holiday Home"/>
        <s v="9pcs Gas Mask, For Painting, Dust, Formaldehyde Grinding, Polishing"/>
        <s v="2pcs Solar Street Light Flood Light Outdoor"/>
        <s v="LASA Stainless Steel Double Wall Mount Soap Dispenser - 500ml"/>
        <s v="5m Waterproof Spherical LED String Lights Outdoor Ball Chain Lights Party Lighting Decoration Adjustable"/>
        <s v="LED Solar Street Light-fake Camera"/>
        <s v="Cartoon Embroidered Mini Towel Bear Cotton Wash Cloth Hand 4pcs"/>
        <s v="60W Hot Melt Glue Sprayer - Efficient And Stable Glue Dispensing"/>
        <s v="12V 19500rpm Handheld Electric Angle Grinder Tool - UK - Yellow/Black"/>
        <s v="1PC Refrigerator Food Seal Pocket Fridge Bags"/>
        <s v="Pilates Cloth Bag Waterproof Durable High Capacity Purple"/>
        <s v="Office Chair Lumbar Back Support Spine Posture Correction Pillow Car Cushion"/>
        <s v="Wall-Mounted Toothbrush Toothpaste Holder With Multiple Slots"/>
        <s v="Outdoor Portable Water Bottle With Medicine Box - 600ML - Black"/>
        <s v="Wall Mount Automatic Toothpaste Dispenser Toothbrush Holder Toothpaste Squeezer"/>
        <s v="Cushion Silicone Butt Cushion Summer Ice Cushion Honeycomb Gel Cushion"/>
        <s v="Metal Wall Clock Silver Dial Crystal Jewelry Round Home Decoration Wall Clock"/>
        <s v="Multi-purpose Rice Drainage Basket And Fruit And Vegetable Drainage Sieve"/>
        <s v="Portable Soap Dispenser Kitchen Detergent Press Box Kitchen Tools"/>
        <s v="Shower Nozzle Cleaning Unclogging Needle Mini Crevice Small Hole Cleaning Brush"/>
        <s v="Pen Grips For Kids Pen Grip Posture Correction Tool For Kids"/>
        <s v="2 Pairs Cowhide Split Leather Work Gloves.32â„‰ Or Above Welding Gloves"/>
        <s v="Thickening Multipurpose Non Stick Easy To Clean Heat Resistant Spoon Pad"/>
        <s v="Shower Cap Wide Elastic Band Cover Reusable Bashroom Cap"/>
        <s v="24 Grid Wall-mounted Sundries Organiser Fabric Closet Bag Storage Rack"/>
      </sharedItems>
    </cacheField>
    <cacheField name="Current price" numFmtId="165">
      <sharedItems containsSemiMixedTypes="0" containsString="0" containsNumber="1" containsInteger="1" minValue="38" maxValue="3750" count="102">
        <n v="2048"/>
        <n v="458"/>
        <n v="38"/>
        <n v="185"/>
        <n v="330"/>
        <n v="1820"/>
        <n v="527"/>
        <n v="1189"/>
        <n v="1600"/>
        <n v="509"/>
        <n v="389"/>
        <n v="3750"/>
        <n v="988"/>
        <n v="880"/>
        <n v="1680"/>
        <n v="1350"/>
        <n v="1758"/>
        <n v="2300"/>
        <n v="1650"/>
        <n v="799"/>
        <n v="2880"/>
        <n v="2999"/>
        <n v="1274"/>
        <n v="171"/>
        <n v="332"/>
        <n v="2025"/>
        <n v="979"/>
        <n v="998"/>
        <n v="552"/>
        <n v="195"/>
        <n v="501"/>
        <n v="1620"/>
        <n v="950"/>
        <n v="1580"/>
        <n v="420"/>
        <n v="990"/>
        <n v="980"/>
        <n v="1940"/>
        <n v="1980"/>
        <n v="1740"/>
        <n v="2199"/>
        <n v="2319"/>
        <n v="3640"/>
        <n v="2115"/>
        <n v="325"/>
        <n v="1000"/>
        <n v="450"/>
        <n v="445"/>
        <n v="968"/>
        <n v="1570"/>
        <n v="382"/>
        <n v="345"/>
        <n v="1220"/>
        <n v="2170"/>
        <n v="199"/>
        <n v="399"/>
        <n v="238"/>
        <n v="299"/>
        <n v="850"/>
        <n v="999"/>
        <n v="1200"/>
        <n v="176"/>
        <n v="230"/>
        <n v="248"/>
        <n v="274"/>
        <n v="475"/>
        <n v="525"/>
        <n v="657"/>
        <n v="671"/>
        <n v="105"/>
        <n v="699"/>
        <n v="1300"/>
        <n v="169"/>
        <n v="790"/>
        <n v="899"/>
        <n v="2200"/>
        <n v="499"/>
        <n v="630"/>
        <n v="690"/>
        <n v="610"/>
        <n v="1080"/>
        <n v="1860"/>
        <n v="1420"/>
        <n v="2750"/>
        <n v="1460"/>
        <n v="1150"/>
        <n v="1190"/>
        <n v="2799"/>
        <n v="198"/>
        <n v="1466"/>
        <n v="1468"/>
        <n v="1526"/>
        <n v="1732"/>
        <n v="3546"/>
        <n v="1459"/>
        <n v="1462"/>
        <n v="1658"/>
        <n v="1660"/>
        <n v="1666"/>
        <n v="1768"/>
        <n v="2132"/>
        <n v="1875"/>
      </sharedItems>
    </cacheField>
    <cacheField name="Old Price" numFmtId="165">
      <sharedItems containsSemiMixedTypes="0" containsString="0" containsNumber="1" containsInteger="1" minValue="80" maxValue="6143"/>
    </cacheField>
    <cacheField name="Discount" numFmtId="9">
      <sharedItems containsSemiMixedTypes="0" containsString="0" containsNumber="1" minValue="0.01" maxValue="0.64" count="46">
        <n v="0.54"/>
        <n v="0.53"/>
        <n v="0.52"/>
        <n v="0.49"/>
        <n v="0.48"/>
        <n v="0.47"/>
        <n v="0.46"/>
        <n v="0.45"/>
        <n v="0.43"/>
        <n v="0.41"/>
        <n v="0.39"/>
        <n v="0.37"/>
        <n v="0.35"/>
        <n v="0.33"/>
        <n v="0.32"/>
        <n v="0.3"/>
        <n v="0.28999999999999998"/>
        <n v="0.23"/>
        <n v="0.2"/>
        <n v="0.18"/>
        <n v="0.09"/>
        <n v="0.55000000000000004"/>
        <n v="0.51"/>
        <n v="0.42"/>
        <n v="0.4"/>
        <n v="0.38"/>
        <n v="0.34"/>
        <n v="0.27"/>
        <n v="0.26"/>
        <n v="0.25"/>
        <n v="0.24"/>
        <n v="0.21"/>
        <n v="0.19"/>
        <n v="0.5"/>
        <n v="0.22"/>
        <n v="0.13"/>
        <n v="0.64"/>
        <n v="0.61"/>
        <n v="0.36"/>
        <n v="0.14000000000000001"/>
        <n v="0.11"/>
        <n v="0.08"/>
        <n v="0.04"/>
        <n v="0.03"/>
        <n v="0.02"/>
        <n v="0.01"/>
      </sharedItems>
    </cacheField>
    <cacheField name="Review" numFmtId="1">
      <sharedItems containsString="0" containsBlank="1" containsNumber="1" containsInteger="1" minValue="1" maxValue="69" count="24">
        <n v="7"/>
        <n v="10"/>
        <n v="13"/>
        <n v="9"/>
        <n v="1"/>
        <n v="14"/>
        <n v="5"/>
        <n v="36"/>
        <n v="2"/>
        <n v="6"/>
        <n v="20"/>
        <n v="12"/>
        <n v="15"/>
        <n v="3"/>
        <n v="44"/>
        <n v="49"/>
        <n v="39"/>
        <n v="32"/>
        <n v="24"/>
        <n v="55"/>
        <n v="69"/>
        <n v="17"/>
        <n v="16"/>
        <m/>
      </sharedItems>
    </cacheField>
    <cacheField name="Ratings" numFmtId="164">
      <sharedItems containsString="0" containsBlank="1" containsNumber="1" minValue="2" maxValue="5" count="23">
        <n v="4.3"/>
        <n v="3"/>
        <n v="3.3"/>
        <n v="4"/>
        <n v="4.0999999999999996"/>
        <n v="3.8"/>
        <n v="4.2"/>
        <n v="4.4000000000000004"/>
        <n v="4.8"/>
        <n v="5"/>
        <n v="4.5999999999999996"/>
        <n v="4.5"/>
        <n v="4.7"/>
        <n v="2.1"/>
        <n v="2.7"/>
        <n v="2.2999999999999998"/>
        <n v="2"/>
        <n v="2.8"/>
        <n v="2.2000000000000002"/>
        <n v="2.6"/>
        <n v="2.9"/>
        <n v="2.5"/>
        <m/>
      </sharedItems>
    </cacheField>
    <cacheField name="Discount Amount" numFmtId="165">
      <sharedItems containsSemiMixedTypes="0" containsString="0" containsNumber="1" containsInteger="1" minValue="24" maxValue="2585"/>
    </cacheField>
    <cacheField name="Rating Category" numFmtId="0">
      <sharedItems containsBlank="1" count="4">
        <s v="Average"/>
        <s v="Excellent"/>
        <s v="Poor"/>
        <m/>
      </sharedItems>
    </cacheField>
    <cacheField name="Discount Category" numFmtId="0">
      <sharedItems count="3">
        <s v="High Discount"/>
        <s v="Medium Discount"/>
        <s v="Low Discount"/>
      </sharedItems>
    </cacheField>
    <cacheField name="Price Categpry" numFmtId="0">
      <sharedItems/>
    </cacheField>
  </cacheFields>
  <extLst>
    <ext xmlns:x14="http://schemas.microsoft.com/office/spreadsheetml/2009/9/main" uri="{725AE2AE-9491-48be-B2B4-4EB974FC3084}">
      <x14:pivotCacheDefinition pivotCacheId="1140012543"/>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OLPH OMONDI" refreshedDate="46273.388696412039" createdVersion="8" refreshedVersion="8" minRefreshableVersion="3" recordCount="117" xr:uid="{0C875E01-716B-4E80-893F-56EC62992443}">
  <cacheSource type="worksheet">
    <worksheetSource ref="A1:L1048576" sheet="Excel_jumia_dataset Current (Re"/>
  </cacheSource>
  <cacheFields count="12">
    <cacheField name="Product" numFmtId="1">
      <sharedItems containsBlank="1"/>
    </cacheField>
    <cacheField name="Current price" numFmtId="165">
      <sharedItems containsString="0" containsBlank="1" containsNumber="1" containsInteger="1" minValue="38" maxValue="3750"/>
    </cacheField>
    <cacheField name="Old Price" numFmtId="165">
      <sharedItems containsString="0" containsBlank="1" containsNumber="1" containsInteger="1" minValue="80" maxValue="6143"/>
    </cacheField>
    <cacheField name="Discount" numFmtId="9">
      <sharedItems containsString="0" containsBlank="1" containsNumber="1" minValue="0.01" maxValue="0.64" count="47">
        <n v="0.49"/>
        <n v="0.4"/>
        <n v="0.21"/>
        <n v="0.53"/>
        <n v="0.51"/>
        <n v="0.46"/>
        <n v="0.55000000000000004"/>
        <n v="0.26"/>
        <n v="0.47"/>
        <n v="0.37"/>
        <n v="0.34"/>
        <n v="0.27"/>
        <n v="0.19"/>
        <n v="0.25"/>
        <n v="0.35"/>
        <n v="0.24"/>
        <n v="0.38"/>
        <n v="0.42"/>
        <n v="0.23"/>
        <n v="0.54"/>
        <n v="0.52"/>
        <n v="0.48"/>
        <n v="0.41"/>
        <n v="0.33"/>
        <n v="0.2"/>
        <n v="0.3"/>
        <n v="0.09"/>
        <n v="0.45"/>
        <n v="0.18"/>
        <n v="0.32"/>
        <n v="0.43"/>
        <n v="0.39"/>
        <n v="0.28999999999999998"/>
        <n v="0.22"/>
        <n v="0.13"/>
        <n v="0.5"/>
        <n v="0.64"/>
        <n v="0.61"/>
        <n v="0.36"/>
        <n v="0.14000000000000001"/>
        <n v="0.11"/>
        <n v="0.08"/>
        <n v="0.04"/>
        <n v="0.03"/>
        <n v="0.02"/>
        <n v="0.01"/>
        <m/>
      </sharedItems>
    </cacheField>
    <cacheField name="Review" numFmtId="1">
      <sharedItems containsString="0" containsBlank="1" containsNumber="1" containsInteger="1" minValue="1" maxValue="69" count="24">
        <n v="1"/>
        <n v="2"/>
        <n v="3"/>
        <n v="5"/>
        <n v="12"/>
        <n v="7"/>
        <n v="20"/>
        <n v="39"/>
        <n v="24"/>
        <n v="44"/>
        <n v="49"/>
        <n v="55"/>
        <n v="6"/>
        <n v="32"/>
        <n v="14"/>
        <n v="9"/>
        <n v="36"/>
        <n v="15"/>
        <n v="13"/>
        <n v="10"/>
        <n v="16"/>
        <n v="69"/>
        <n v="17"/>
        <m/>
      </sharedItems>
    </cacheField>
    <cacheField name="Ratings" numFmtId="164">
      <sharedItems containsString="0" containsBlank="1" containsNumber="1" minValue="2" maxValue="5" count="23">
        <n v="5"/>
        <n v="4.8"/>
        <n v="4.7"/>
        <n v="4.5999999999999996"/>
        <n v="4.5"/>
        <n v="4.4000000000000004"/>
        <n v="4.3"/>
        <n v="4.2"/>
        <n v="4.0999999999999996"/>
        <n v="4"/>
        <n v="3.8"/>
        <n v="3.3"/>
        <n v="3"/>
        <n v="2.9"/>
        <n v="2.8"/>
        <n v="2.7"/>
        <n v="2.6"/>
        <n v="2.5"/>
        <n v="2.2999999999999998"/>
        <n v="2.2000000000000002"/>
        <n v="2.1"/>
        <n v="2"/>
        <m/>
      </sharedItems>
    </cacheField>
    <cacheField name="Discount Amount" numFmtId="3">
      <sharedItems containsString="0" containsBlank="1" containsNumber="1" containsInteger="1" minValue="24" maxValue="2585"/>
    </cacheField>
    <cacheField name="Rating Category" numFmtId="0">
      <sharedItems containsBlank="1" count="4">
        <s v="Excellent"/>
        <s v="Average"/>
        <s v="Poor"/>
        <m/>
      </sharedItems>
    </cacheField>
    <cacheField name="Discount Category" numFmtId="0">
      <sharedItems containsBlank="1" count="4">
        <s v="High Discount"/>
        <s v="Medium Discount"/>
        <s v="Low Discount"/>
        <m/>
      </sharedItems>
    </cacheField>
    <cacheField name="Price Categpry" numFmtId="0">
      <sharedItems containsBlank="1" count="4">
        <s v="Low Price"/>
        <s v="Medium Price"/>
        <s v="High Price"/>
        <m/>
      </sharedItems>
    </cacheField>
    <cacheField name="Column1" numFmtId="0">
      <sharedItems containsNonDate="0" containsString="0" containsBlank="1"/>
    </cacheField>
    <cacheField name="Column2" numFmtId="0">
      <sharedItems containsNonDate="0" containsString="0" containsBlank="1"/>
    </cacheField>
  </cacheFields>
  <extLst>
    <ext xmlns:x14="http://schemas.microsoft.com/office/spreadsheetml/2009/9/main" uri="{725AE2AE-9491-48be-B2B4-4EB974FC3084}">
      <x14:pivotCacheDefinition pivotCacheId="60644868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1">
  <r>
    <x v="0"/>
    <n v="2025"/>
    <n v="3971"/>
    <n v="0.49"/>
    <n v="3"/>
    <n v="5"/>
    <n v="1946"/>
    <s v="Excellent"/>
    <x v="0"/>
    <s v="High Price"/>
  </r>
  <r>
    <x v="1"/>
    <n v="171"/>
    <n v="360"/>
    <n v="0.53"/>
    <n v="2"/>
    <n v="5"/>
    <n v="189"/>
    <s v="Excellent"/>
    <x v="0"/>
    <s v="Low Price"/>
  </r>
  <r>
    <x v="2"/>
    <n v="195"/>
    <n v="360"/>
    <n v="0.46"/>
    <n v="2"/>
    <n v="5"/>
    <n v="165"/>
    <s v="Excellent"/>
    <x v="0"/>
    <s v="Low Price"/>
  </r>
  <r>
    <x v="3"/>
    <n v="332"/>
    <n v="684"/>
    <n v="0.51"/>
    <n v="2"/>
    <n v="5"/>
    <n v="352"/>
    <s v="Excellent"/>
    <x v="0"/>
    <s v="Low Price"/>
  </r>
  <r>
    <x v="4"/>
    <n v="979"/>
    <n v="1920"/>
    <n v="0.49"/>
    <n v="1"/>
    <n v="5"/>
    <n v="941"/>
    <s v="Excellent"/>
    <x v="0"/>
    <s v="Low Price"/>
  </r>
  <r>
    <x v="5"/>
    <n v="1620"/>
    <n v="2690"/>
    <n v="0.4"/>
    <n v="1"/>
    <n v="5"/>
    <n v="1070"/>
    <s v="Excellent"/>
    <x v="1"/>
    <s v="Medium Price"/>
  </r>
  <r>
    <x v="6"/>
    <n v="3640"/>
    <n v="4588"/>
    <n v="0.21"/>
    <n v="1"/>
    <n v="5"/>
    <n v="948"/>
    <s v="Excellent"/>
    <x v="1"/>
    <s v="High Price"/>
  </r>
  <r>
    <x v="7"/>
    <n v="552"/>
    <n v="1035"/>
    <n v="0.47"/>
    <n v="12"/>
    <n v="4.8"/>
    <n v="483"/>
    <s v="Excellent"/>
    <x v="0"/>
    <s v="Low Price"/>
  </r>
  <r>
    <x v="8"/>
    <n v="1274"/>
    <n v="2800"/>
    <n v="0.55000000000000004"/>
    <n v="5"/>
    <n v="4.8"/>
    <n v="1526"/>
    <s v="Excellent"/>
    <x v="0"/>
    <s v="Medium Price"/>
  </r>
  <r>
    <x v="9"/>
    <n v="1740"/>
    <n v="2356"/>
    <n v="0.26"/>
    <n v="5"/>
    <n v="4.8"/>
    <n v="616"/>
    <s v="Excellent"/>
    <x v="1"/>
    <s v="Medium Price"/>
  </r>
  <r>
    <x v="10"/>
    <n v="990"/>
    <n v="1500"/>
    <n v="0.34"/>
    <n v="39"/>
    <n v="4.7"/>
    <n v="510"/>
    <s v="Excellent"/>
    <x v="1"/>
    <s v="Low Price"/>
  </r>
  <r>
    <x v="11"/>
    <n v="1940"/>
    <n v="2650"/>
    <n v="0.27"/>
    <n v="20"/>
    <n v="4.7"/>
    <n v="710"/>
    <s v="Excellent"/>
    <x v="1"/>
    <s v="Medium Price"/>
  </r>
  <r>
    <x v="12"/>
    <n v="980"/>
    <n v="1490"/>
    <n v="0.34"/>
    <n v="12"/>
    <n v="4.7"/>
    <n v="510"/>
    <s v="Excellent"/>
    <x v="1"/>
    <s v="Low Price"/>
  </r>
  <r>
    <x v="13"/>
    <n v="1580"/>
    <n v="2499"/>
    <n v="0.37"/>
    <n v="7"/>
    <n v="4.7"/>
    <n v="919"/>
    <s v="Excellent"/>
    <x v="1"/>
    <s v="Medium Price"/>
  </r>
  <r>
    <x v="14"/>
    <n v="2319"/>
    <n v="3032"/>
    <n v="0.24"/>
    <n v="55"/>
    <n v="4.5999999999999996"/>
    <n v="713"/>
    <s v="Excellent"/>
    <x v="1"/>
    <s v="High Price"/>
  </r>
  <r>
    <x v="15"/>
    <n v="420"/>
    <n v="647"/>
    <n v="0.35"/>
    <n v="49"/>
    <n v="4.5999999999999996"/>
    <n v="227"/>
    <s v="Excellent"/>
    <x v="1"/>
    <s v="Low Price"/>
  </r>
  <r>
    <x v="16"/>
    <n v="998"/>
    <n v="1966"/>
    <n v="0.49"/>
    <n v="44"/>
    <n v="4.5999999999999996"/>
    <n v="968"/>
    <s v="Excellent"/>
    <x v="0"/>
    <s v="Low Price"/>
  </r>
  <r>
    <x v="17"/>
    <n v="2199"/>
    <n v="2923"/>
    <n v="0.25"/>
    <n v="24"/>
    <n v="4.5999999999999996"/>
    <n v="724"/>
    <s v="Excellent"/>
    <x v="1"/>
    <s v="High Price"/>
  </r>
  <r>
    <x v="18"/>
    <n v="2999"/>
    <n v="3699"/>
    <n v="0.19"/>
    <n v="5"/>
    <n v="4.5999999999999996"/>
    <n v="700"/>
    <s v="Excellent"/>
    <x v="2"/>
    <s v="High Price"/>
  </r>
  <r>
    <x v="19"/>
    <n v="1980"/>
    <n v="2699"/>
    <n v="0.27"/>
    <n v="32"/>
    <n v="4.5"/>
    <n v="719"/>
    <s v="Excellent"/>
    <x v="1"/>
    <s v="Medium Price"/>
  </r>
  <r>
    <x v="20"/>
    <n v="501"/>
    <n v="860"/>
    <n v="0.42"/>
    <n v="6"/>
    <n v="4.5"/>
    <n v="359"/>
    <s v="Excellent"/>
    <x v="0"/>
    <s v="Low Price"/>
  </r>
  <r>
    <x v="21"/>
    <n v="950"/>
    <n v="1525"/>
    <n v="0.38"/>
    <n v="2"/>
    <n v="4.5"/>
    <n v="575"/>
    <s v="Excellent"/>
    <x v="1"/>
    <s v="Low Price"/>
  </r>
  <r>
    <x v="22"/>
    <n v="1650"/>
    <n v="2150"/>
    <n v="0.23"/>
    <n v="14"/>
    <n v="4.4000000000000004"/>
    <n v="500"/>
    <s v="Average"/>
    <x v="1"/>
    <s v="Medium Price"/>
  </r>
  <r>
    <x v="23"/>
    <n v="389"/>
    <n v="656"/>
    <n v="0.41"/>
    <n v="36"/>
    <n v="4.3"/>
    <n v="267"/>
    <s v="Average"/>
    <x v="0"/>
    <s v="Low Price"/>
  </r>
  <r>
    <x v="24"/>
    <n v="185"/>
    <n v="382"/>
    <n v="0.52"/>
    <n v="9"/>
    <n v="4.3"/>
    <n v="197"/>
    <s v="Average"/>
    <x v="0"/>
    <s v="Low Price"/>
  </r>
  <r>
    <x v="25"/>
    <n v="1820"/>
    <n v="3490"/>
    <n v="0.48"/>
    <n v="9"/>
    <n v="4.3"/>
    <n v="1670"/>
    <s v="Average"/>
    <x v="0"/>
    <s v="Medium Price"/>
  </r>
  <r>
    <x v="26"/>
    <n v="2048"/>
    <n v="4500"/>
    <n v="0.54"/>
    <n v="7"/>
    <n v="4.3"/>
    <n v="2452"/>
    <s v="Average"/>
    <x v="0"/>
    <s v="High Price"/>
  </r>
  <r>
    <x v="27"/>
    <n v="1680"/>
    <n v="2499"/>
    <n v="0.33"/>
    <n v="9"/>
    <n v="4.2"/>
    <n v="819"/>
    <s v="Average"/>
    <x v="1"/>
    <s v="Medium Price"/>
  </r>
  <r>
    <x v="28"/>
    <n v="1758"/>
    <n v="2499"/>
    <n v="0.3"/>
    <n v="20"/>
    <n v="4.0999999999999996"/>
    <n v="741"/>
    <s v="Average"/>
    <x v="1"/>
    <s v="Medium Price"/>
  </r>
  <r>
    <x v="29"/>
    <n v="527"/>
    <n v="999"/>
    <n v="0.47"/>
    <n v="14"/>
    <n v="4.0999999999999996"/>
    <n v="472"/>
    <s v="Average"/>
    <x v="0"/>
    <s v="Low Price"/>
  </r>
  <r>
    <x v="30"/>
    <n v="799"/>
    <n v="999"/>
    <n v="0.2"/>
    <n v="12"/>
    <n v="4.0999999999999996"/>
    <n v="200"/>
    <s v="Average"/>
    <x v="1"/>
    <s v="Low Price"/>
  </r>
  <r>
    <x v="31"/>
    <n v="2999"/>
    <n v="3290"/>
    <n v="0.09"/>
    <n v="15"/>
    <n v="4"/>
    <n v="291"/>
    <s v="Average"/>
    <x v="2"/>
    <s v="High Price"/>
  </r>
  <r>
    <x v="32"/>
    <n v="880"/>
    <n v="1350"/>
    <n v="0.35"/>
    <n v="6"/>
    <n v="4"/>
    <n v="470"/>
    <s v="Average"/>
    <x v="1"/>
    <s v="Low Price"/>
  </r>
  <r>
    <x v="33"/>
    <n v="988"/>
    <n v="1580"/>
    <n v="0.37"/>
    <n v="2"/>
    <n v="4"/>
    <n v="592"/>
    <s v="Average"/>
    <x v="1"/>
    <s v="Low Price"/>
  </r>
  <r>
    <x v="34"/>
    <n v="330"/>
    <n v="647"/>
    <n v="0.49"/>
    <n v="1"/>
    <n v="4"/>
    <n v="317"/>
    <s v="Average"/>
    <x v="0"/>
    <s v="Low Price"/>
  </r>
  <r>
    <x v="35"/>
    <n v="1350"/>
    <n v="1990"/>
    <n v="0.32"/>
    <n v="13"/>
    <n v="3.8"/>
    <n v="640"/>
    <s v="Average"/>
    <x v="1"/>
    <s v="Medium Price"/>
  </r>
  <r>
    <x v="36"/>
    <n v="2880"/>
    <n v="3520"/>
    <n v="0.18"/>
    <n v="12"/>
    <n v="3.8"/>
    <n v="640"/>
    <s v="Average"/>
    <x v="2"/>
    <s v="High Price"/>
  </r>
  <r>
    <x v="37"/>
    <n v="1600"/>
    <n v="2929"/>
    <n v="0.45"/>
    <n v="5"/>
    <n v="3.8"/>
    <n v="1329"/>
    <s v="Average"/>
    <x v="0"/>
    <s v="Medium Price"/>
  </r>
  <r>
    <x v="38"/>
    <n v="38"/>
    <n v="80"/>
    <n v="0.53"/>
    <n v="13"/>
    <n v="3.3"/>
    <n v="42"/>
    <s v="Average"/>
    <x v="0"/>
    <s v="Low Price"/>
  </r>
  <r>
    <x v="39"/>
    <n v="458"/>
    <n v="986"/>
    <n v="0.54"/>
    <n v="10"/>
    <n v="3"/>
    <n v="528"/>
    <s v="Average"/>
    <x v="0"/>
    <s v="Low Price"/>
  </r>
  <r>
    <x v="40"/>
    <n v="509"/>
    <n v="899"/>
    <n v="0.43"/>
    <n v="5"/>
    <n v="3"/>
    <n v="390"/>
    <s v="Average"/>
    <x v="0"/>
    <s v="Low Price"/>
  </r>
  <r>
    <x v="41"/>
    <n v="2300"/>
    <n v="3240"/>
    <n v="0.28999999999999998"/>
    <n v="5"/>
    <n v="3"/>
    <n v="940"/>
    <s v="Average"/>
    <x v="1"/>
    <s v="High Price"/>
  </r>
  <r>
    <x v="42"/>
    <n v="3750"/>
    <n v="6143"/>
    <n v="0.39"/>
    <n v="5"/>
    <n v="3"/>
    <n v="2393"/>
    <s v="Average"/>
    <x v="1"/>
    <s v="High Price"/>
  </r>
  <r>
    <x v="43"/>
    <n v="1189"/>
    <n v="2199"/>
    <n v="0.46"/>
    <n v="1"/>
    <n v="3"/>
    <n v="1010"/>
    <s v="Average"/>
    <x v="0"/>
    <s v="Medium Price"/>
  </r>
  <r>
    <x v="44"/>
    <n v="1220"/>
    <n v="1555"/>
    <n v="0.22"/>
    <n v="16"/>
    <n v="2.9"/>
    <n v="335"/>
    <s v="Poor"/>
    <x v="1"/>
    <s v="Medium Price"/>
  </r>
  <r>
    <x v="45"/>
    <n v="445"/>
    <n v="873"/>
    <n v="0.49"/>
    <n v="69"/>
    <n v="2.8"/>
    <n v="428"/>
    <s v="Poor"/>
    <x v="0"/>
    <s v="Low Price"/>
  </r>
  <r>
    <x v="46"/>
    <n v="325"/>
    <n v="680"/>
    <n v="0.52"/>
    <n v="15"/>
    <n v="2.7"/>
    <n v="355"/>
    <s v="Poor"/>
    <x v="0"/>
    <s v="Low Price"/>
  </r>
  <r>
    <x v="47"/>
    <n v="382"/>
    <n v="700"/>
    <n v="0.45"/>
    <n v="17"/>
    <n v="2.6"/>
    <n v="318"/>
    <s v="Poor"/>
    <x v="0"/>
    <s v="Low Price"/>
  </r>
  <r>
    <x v="48"/>
    <n v="2170"/>
    <n v="2500"/>
    <n v="0.13"/>
    <n v="6"/>
    <n v="2.5"/>
    <n v="330"/>
    <s v="Poor"/>
    <x v="2"/>
    <s v="High Price"/>
  </r>
  <r>
    <x v="49"/>
    <n v="1000"/>
    <n v="2000"/>
    <n v="0.5"/>
    <n v="7"/>
    <n v="2.2999999999999998"/>
    <n v="1000"/>
    <s v="Poor"/>
    <x v="0"/>
    <s v="Medium Price"/>
  </r>
  <r>
    <x v="50"/>
    <n v="345"/>
    <n v="602"/>
    <n v="0.43"/>
    <n v="6"/>
    <n v="2.2999999999999998"/>
    <n v="257"/>
    <s v="Poor"/>
    <x v="0"/>
    <s v="Low Price"/>
  </r>
  <r>
    <x v="51"/>
    <n v="968"/>
    <n v="1814"/>
    <n v="0.47"/>
    <n v="6"/>
    <n v="2.2000000000000002"/>
    <n v="846"/>
    <s v="Poor"/>
    <x v="0"/>
    <s v="Low Price"/>
  </r>
  <r>
    <x v="52"/>
    <n v="990"/>
    <n v="1814"/>
    <n v="0.45"/>
    <n v="6"/>
    <n v="2.2000000000000002"/>
    <n v="824"/>
    <s v="Poor"/>
    <x v="0"/>
    <s v="Low Price"/>
  </r>
  <r>
    <x v="53"/>
    <n v="2115"/>
    <n v="4700"/>
    <n v="0.55000000000000004"/>
    <n v="13"/>
    <n v="2.1"/>
    <n v="2585"/>
    <s v="Poor"/>
    <x v="0"/>
    <s v="High Price"/>
  </r>
  <r>
    <x v="54"/>
    <n v="1570"/>
    <n v="2988"/>
    <n v="0.47"/>
    <n v="7"/>
    <n v="2.1"/>
    <n v="1418"/>
    <s v="Poor"/>
    <x v="0"/>
    <s v="Medium Price"/>
  </r>
  <r>
    <x v="55"/>
    <n v="450"/>
    <n v="900"/>
    <n v="0.5"/>
    <n v="1"/>
    <n v="2"/>
    <n v="450"/>
    <s v="Poor"/>
    <x v="0"/>
    <s v="Low Price"/>
  </r>
  <r>
    <x v="56"/>
    <n v="105"/>
    <n v="200"/>
    <n v="0.48"/>
    <m/>
    <m/>
    <n v="95"/>
    <m/>
    <x v="0"/>
    <s v="Low Price"/>
  </r>
  <r>
    <x v="57"/>
    <n v="169"/>
    <n v="320"/>
    <n v="0.47"/>
    <m/>
    <m/>
    <n v="151"/>
    <m/>
    <x v="0"/>
    <s v="Low Price"/>
  </r>
  <r>
    <x v="58"/>
    <n v="176"/>
    <n v="345"/>
    <n v="0.49"/>
    <m/>
    <m/>
    <n v="169"/>
    <m/>
    <x v="0"/>
    <s v="Low Price"/>
  </r>
  <r>
    <x v="59"/>
    <n v="198"/>
    <n v="260"/>
    <n v="0.24"/>
    <m/>
    <m/>
    <n v="62"/>
    <m/>
    <x v="1"/>
    <s v="Low Price"/>
  </r>
  <r>
    <x v="58"/>
    <n v="199"/>
    <n v="504"/>
    <n v="0.61"/>
    <m/>
    <m/>
    <n v="305"/>
    <m/>
    <x v="0"/>
    <s v="Low Price"/>
  </r>
  <r>
    <x v="60"/>
    <n v="199"/>
    <n v="553"/>
    <n v="0.64"/>
    <m/>
    <m/>
    <n v="354"/>
    <m/>
    <x v="0"/>
    <s v="Low Price"/>
  </r>
  <r>
    <x v="61"/>
    <n v="230"/>
    <n v="450"/>
    <n v="0.49"/>
    <m/>
    <m/>
    <n v="220"/>
    <m/>
    <x v="0"/>
    <s v="Low Price"/>
  </r>
  <r>
    <x v="62"/>
    <n v="238"/>
    <n v="476"/>
    <n v="0.5"/>
    <m/>
    <m/>
    <n v="238"/>
    <m/>
    <x v="0"/>
    <s v="Low Price"/>
  </r>
  <r>
    <x v="63"/>
    <n v="248"/>
    <n v="486"/>
    <n v="0.49"/>
    <m/>
    <m/>
    <n v="238"/>
    <m/>
    <x v="0"/>
    <s v="Low Price"/>
  </r>
  <r>
    <x v="64"/>
    <n v="274"/>
    <n v="537"/>
    <n v="0.49"/>
    <m/>
    <m/>
    <n v="263"/>
    <m/>
    <x v="0"/>
    <s v="Low Price"/>
  </r>
  <r>
    <x v="65"/>
    <n v="299"/>
    <n v="384"/>
    <n v="0.22"/>
    <m/>
    <m/>
    <n v="85"/>
    <m/>
    <x v="1"/>
    <s v="Low Price"/>
  </r>
  <r>
    <x v="66"/>
    <n v="299"/>
    <n v="600"/>
    <n v="0.5"/>
    <m/>
    <m/>
    <n v="301"/>
    <m/>
    <x v="0"/>
    <s v="Low Price"/>
  </r>
  <r>
    <x v="67"/>
    <n v="399"/>
    <n v="896"/>
    <n v="0.55000000000000004"/>
    <m/>
    <m/>
    <n v="497"/>
    <m/>
    <x v="0"/>
    <s v="Low Price"/>
  </r>
  <r>
    <x v="68"/>
    <n v="475"/>
    <n v="931"/>
    <n v="0.49"/>
    <m/>
    <m/>
    <n v="456"/>
    <m/>
    <x v="0"/>
    <s v="Low Price"/>
  </r>
  <r>
    <x v="67"/>
    <n v="499"/>
    <n v="900"/>
    <n v="0.45"/>
    <m/>
    <m/>
    <n v="401"/>
    <m/>
    <x v="0"/>
    <s v="Low Price"/>
  </r>
  <r>
    <x v="69"/>
    <n v="525"/>
    <n v="1029"/>
    <n v="0.49"/>
    <m/>
    <m/>
    <n v="504"/>
    <m/>
    <x v="0"/>
    <s v="Low Price"/>
  </r>
  <r>
    <x v="70"/>
    <n v="610"/>
    <n v="1060"/>
    <n v="0.42"/>
    <m/>
    <m/>
    <n v="450"/>
    <m/>
    <x v="0"/>
    <s v="Low Price"/>
  </r>
  <r>
    <x v="71"/>
    <n v="630"/>
    <n v="1100"/>
    <n v="0.43"/>
    <m/>
    <m/>
    <n v="470"/>
    <m/>
    <x v="0"/>
    <s v="Low Price"/>
  </r>
  <r>
    <x v="72"/>
    <n v="657"/>
    <n v="1288"/>
    <n v="0.49"/>
    <m/>
    <m/>
    <n v="631"/>
    <m/>
    <x v="0"/>
    <s v="Low Price"/>
  </r>
  <r>
    <x v="73"/>
    <n v="671"/>
    <n v="1316"/>
    <n v="0.49"/>
    <m/>
    <m/>
    <n v="645"/>
    <m/>
    <x v="0"/>
    <s v="Low Price"/>
  </r>
  <r>
    <x v="74"/>
    <n v="690"/>
    <n v="1200"/>
    <n v="0.43"/>
    <m/>
    <m/>
    <n v="510"/>
    <m/>
    <x v="0"/>
    <s v="Low Price"/>
  </r>
  <r>
    <x v="75"/>
    <n v="699"/>
    <n v="1343"/>
    <n v="0.48"/>
    <m/>
    <m/>
    <n v="644"/>
    <m/>
    <x v="0"/>
    <s v="Low Price"/>
  </r>
  <r>
    <x v="76"/>
    <n v="790"/>
    <n v="1485"/>
    <n v="0.47"/>
    <m/>
    <m/>
    <n v="695"/>
    <m/>
    <x v="0"/>
    <s v="Low Price"/>
  </r>
  <r>
    <x v="77"/>
    <n v="799"/>
    <n v="900"/>
    <n v="0.11"/>
    <m/>
    <m/>
    <n v="101"/>
    <m/>
    <x v="2"/>
    <s v="Low Price"/>
  </r>
  <r>
    <x v="78"/>
    <n v="799"/>
    <n v="1343"/>
    <n v="0.41"/>
    <m/>
    <m/>
    <n v="544"/>
    <m/>
    <x v="0"/>
    <s v="Low Price"/>
  </r>
  <r>
    <x v="72"/>
    <n v="799"/>
    <n v="1567"/>
    <n v="0.49"/>
    <m/>
    <m/>
    <n v="768"/>
    <m/>
    <x v="0"/>
    <s v="Low Price"/>
  </r>
  <r>
    <x v="79"/>
    <n v="850"/>
    <n v="1700"/>
    <n v="0.5"/>
    <m/>
    <m/>
    <n v="850"/>
    <m/>
    <x v="0"/>
    <s v="Low Price"/>
  </r>
  <r>
    <x v="80"/>
    <n v="899"/>
    <n v="1699"/>
    <n v="0.47"/>
    <m/>
    <m/>
    <n v="800"/>
    <m/>
    <x v="0"/>
    <s v="Low Price"/>
  </r>
  <r>
    <x v="81"/>
    <n v="999"/>
    <n v="2000"/>
    <n v="0.5"/>
    <m/>
    <m/>
    <n v="1001"/>
    <m/>
    <x v="0"/>
    <s v="Low Price"/>
  </r>
  <r>
    <x v="82"/>
    <n v="1080"/>
    <n v="1874"/>
    <n v="0.42"/>
    <m/>
    <m/>
    <n v="794"/>
    <m/>
    <x v="0"/>
    <s v="Medium Price"/>
  </r>
  <r>
    <x v="83"/>
    <n v="1150"/>
    <n v="1737"/>
    <n v="0.34"/>
    <m/>
    <m/>
    <n v="587"/>
    <m/>
    <x v="1"/>
    <s v="Medium Price"/>
  </r>
  <r>
    <x v="84"/>
    <n v="1190"/>
    <n v="1785"/>
    <n v="0.33"/>
    <m/>
    <m/>
    <n v="595"/>
    <m/>
    <x v="1"/>
    <s v="Medium Price"/>
  </r>
  <r>
    <x v="85"/>
    <n v="1190"/>
    <n v="1810"/>
    <n v="0.34"/>
    <m/>
    <m/>
    <n v="620"/>
    <m/>
    <x v="1"/>
    <s v="Medium Price"/>
  </r>
  <r>
    <x v="86"/>
    <n v="1200"/>
    <n v="1950"/>
    <n v="0.38"/>
    <m/>
    <m/>
    <n v="750"/>
    <m/>
    <x v="1"/>
    <s v="Medium Price"/>
  </r>
  <r>
    <x v="87"/>
    <n v="1200"/>
    <n v="2400"/>
    <n v="0.5"/>
    <m/>
    <m/>
    <n v="1200"/>
    <m/>
    <x v="0"/>
    <s v="Medium Price"/>
  </r>
  <r>
    <x v="88"/>
    <n v="1300"/>
    <n v="2500"/>
    <n v="0.48"/>
    <m/>
    <m/>
    <n v="1200"/>
    <m/>
    <x v="0"/>
    <s v="Medium Price"/>
  </r>
  <r>
    <x v="89"/>
    <n v="1420"/>
    <n v="2420"/>
    <n v="0.41"/>
    <m/>
    <m/>
    <n v="1000"/>
    <m/>
    <x v="0"/>
    <s v="Medium Price"/>
  </r>
  <r>
    <x v="90"/>
    <n v="1459"/>
    <n v="1499"/>
    <n v="0.03"/>
    <m/>
    <m/>
    <n v="40"/>
    <m/>
    <x v="2"/>
    <s v="Medium Price"/>
  </r>
  <r>
    <x v="91"/>
    <n v="1460"/>
    <n v="2290"/>
    <n v="0.36"/>
    <m/>
    <m/>
    <n v="830"/>
    <m/>
    <x v="1"/>
    <s v="Medium Price"/>
  </r>
  <r>
    <x v="92"/>
    <n v="1462"/>
    <n v="1499"/>
    <n v="0.02"/>
    <m/>
    <m/>
    <n v="37"/>
    <m/>
    <x v="2"/>
    <s v="Medium Price"/>
  </r>
  <r>
    <x v="93"/>
    <n v="1466"/>
    <n v="1699"/>
    <n v="0.14000000000000001"/>
    <m/>
    <m/>
    <n v="233"/>
    <m/>
    <x v="2"/>
    <s v="Medium Price"/>
  </r>
  <r>
    <x v="94"/>
    <n v="1468"/>
    <n v="1699"/>
    <n v="0.14000000000000001"/>
    <m/>
    <m/>
    <n v="231"/>
    <m/>
    <x v="2"/>
    <s v="Medium Price"/>
  </r>
  <r>
    <x v="95"/>
    <n v="1526"/>
    <n v="1660"/>
    <n v="0.08"/>
    <m/>
    <m/>
    <n v="134"/>
    <m/>
    <x v="2"/>
    <s v="Medium Price"/>
  </r>
  <r>
    <x v="96"/>
    <n v="1658"/>
    <n v="1699"/>
    <n v="0.02"/>
    <m/>
    <m/>
    <n v="41"/>
    <m/>
    <x v="2"/>
    <s v="Medium Price"/>
  </r>
  <r>
    <x v="97"/>
    <n v="1660"/>
    <n v="1699"/>
    <n v="0.02"/>
    <m/>
    <m/>
    <n v="39"/>
    <m/>
    <x v="2"/>
    <s v="Medium Price"/>
  </r>
  <r>
    <x v="98"/>
    <n v="1666"/>
    <n v="1699"/>
    <n v="0.02"/>
    <m/>
    <m/>
    <n v="33"/>
    <m/>
    <x v="2"/>
    <s v="Medium Price"/>
  </r>
  <r>
    <x v="99"/>
    <n v="1732"/>
    <n v="1799"/>
    <n v="0.04"/>
    <m/>
    <m/>
    <n v="67"/>
    <m/>
    <x v="2"/>
    <s v="Medium Price"/>
  </r>
  <r>
    <x v="100"/>
    <n v="1768"/>
    <n v="1799"/>
    <n v="0.02"/>
    <m/>
    <m/>
    <n v="31"/>
    <m/>
    <x v="2"/>
    <s v="Medium Price"/>
  </r>
  <r>
    <x v="101"/>
    <n v="1860"/>
    <n v="3220"/>
    <n v="0.42"/>
    <m/>
    <m/>
    <n v="1360"/>
    <m/>
    <x v="0"/>
    <s v="Medium Price"/>
  </r>
  <r>
    <x v="102"/>
    <n v="1875"/>
    <n v="1899"/>
    <n v="0.01"/>
    <m/>
    <m/>
    <n v="24"/>
    <m/>
    <x v="2"/>
    <s v="Medium Price"/>
  </r>
  <r>
    <x v="103"/>
    <n v="2132"/>
    <n v="2169"/>
    <n v="0.02"/>
    <m/>
    <m/>
    <n v="37"/>
    <m/>
    <x v="2"/>
    <s v="High Price"/>
  </r>
  <r>
    <x v="104"/>
    <n v="2200"/>
    <n v="4080"/>
    <n v="0.46"/>
    <m/>
    <m/>
    <n v="1880"/>
    <m/>
    <x v="0"/>
    <s v="High Price"/>
  </r>
  <r>
    <x v="105"/>
    <n v="2750"/>
    <n v="4471"/>
    <n v="0.38"/>
    <m/>
    <m/>
    <n v="1721"/>
    <m/>
    <x v="1"/>
    <s v="High Price"/>
  </r>
  <r>
    <x v="106"/>
    <n v="2799"/>
    <n v="3810"/>
    <n v="0.27"/>
    <m/>
    <m/>
    <n v="1011"/>
    <m/>
    <x v="1"/>
    <s v="High Price"/>
  </r>
  <r>
    <x v="107"/>
    <n v="3546"/>
    <n v="3699"/>
    <n v="0.04"/>
    <m/>
    <m/>
    <n v="153"/>
    <m/>
    <x v="2"/>
    <s v="High Price"/>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1">
  <r>
    <x v="0"/>
    <n v="2025"/>
    <n v="3971"/>
    <n v="0.49"/>
    <x v="0"/>
    <n v="5"/>
    <n v="1946"/>
    <x v="0"/>
    <s v="High Discount"/>
    <s v="High Price"/>
  </r>
  <r>
    <x v="1"/>
    <n v="171"/>
    <n v="360"/>
    <n v="0.53"/>
    <x v="1"/>
    <n v="5"/>
    <n v="189"/>
    <x v="0"/>
    <s v="High Discount"/>
    <s v="Low Price"/>
  </r>
  <r>
    <x v="2"/>
    <n v="195"/>
    <n v="360"/>
    <n v="0.46"/>
    <x v="1"/>
    <n v="5"/>
    <n v="165"/>
    <x v="0"/>
    <s v="High Discount"/>
    <s v="Low Price"/>
  </r>
  <r>
    <x v="3"/>
    <n v="332"/>
    <n v="684"/>
    <n v="0.51"/>
    <x v="1"/>
    <n v="5"/>
    <n v="352"/>
    <x v="0"/>
    <s v="High Discount"/>
    <s v="Low Price"/>
  </r>
  <r>
    <x v="4"/>
    <n v="979"/>
    <n v="1920"/>
    <n v="0.49"/>
    <x v="2"/>
    <n v="5"/>
    <n v="941"/>
    <x v="0"/>
    <s v="High Discount"/>
    <s v="Low Price"/>
  </r>
  <r>
    <x v="5"/>
    <n v="1620"/>
    <n v="2690"/>
    <n v="0.4"/>
    <x v="2"/>
    <n v="5"/>
    <n v="1070"/>
    <x v="0"/>
    <s v="Medium Discount"/>
    <s v="Medium Price"/>
  </r>
  <r>
    <x v="6"/>
    <n v="3640"/>
    <n v="4588"/>
    <n v="0.21"/>
    <x v="2"/>
    <n v="5"/>
    <n v="948"/>
    <x v="0"/>
    <s v="Medium Discount"/>
    <s v="High Price"/>
  </r>
  <r>
    <x v="7"/>
    <n v="552"/>
    <n v="1035"/>
    <n v="0.47"/>
    <x v="3"/>
    <n v="4.8"/>
    <n v="483"/>
    <x v="0"/>
    <s v="High Discount"/>
    <s v="Low Price"/>
  </r>
  <r>
    <x v="8"/>
    <n v="1274"/>
    <n v="2800"/>
    <n v="0.55000000000000004"/>
    <x v="4"/>
    <n v="4.8"/>
    <n v="1526"/>
    <x v="0"/>
    <s v="High Discount"/>
    <s v="Medium Price"/>
  </r>
  <r>
    <x v="9"/>
    <n v="1740"/>
    <n v="2356"/>
    <n v="0.26"/>
    <x v="4"/>
    <n v="4.8"/>
    <n v="616"/>
    <x v="0"/>
    <s v="Medium Discount"/>
    <s v="Medium Price"/>
  </r>
  <r>
    <x v="10"/>
    <n v="990"/>
    <n v="1500"/>
    <n v="0.34"/>
    <x v="5"/>
    <n v="4.7"/>
    <n v="510"/>
    <x v="0"/>
    <s v="Medium Discount"/>
    <s v="Low Price"/>
  </r>
  <r>
    <x v="11"/>
    <n v="1940"/>
    <n v="2650"/>
    <n v="0.27"/>
    <x v="6"/>
    <n v="4.7"/>
    <n v="710"/>
    <x v="0"/>
    <s v="Medium Discount"/>
    <s v="Medium Price"/>
  </r>
  <r>
    <x v="12"/>
    <n v="980"/>
    <n v="1490"/>
    <n v="0.34"/>
    <x v="3"/>
    <n v="4.7"/>
    <n v="510"/>
    <x v="0"/>
    <s v="Medium Discount"/>
    <s v="Low Price"/>
  </r>
  <r>
    <x v="13"/>
    <n v="1580"/>
    <n v="2499"/>
    <n v="0.37"/>
    <x v="7"/>
    <n v="4.7"/>
    <n v="919"/>
    <x v="0"/>
    <s v="Medium Discount"/>
    <s v="Medium Price"/>
  </r>
  <r>
    <x v="14"/>
    <n v="2319"/>
    <n v="3032"/>
    <n v="0.24"/>
    <x v="8"/>
    <n v="4.5999999999999996"/>
    <n v="713"/>
    <x v="0"/>
    <s v="Medium Discount"/>
    <s v="High Price"/>
  </r>
  <r>
    <x v="15"/>
    <n v="420"/>
    <n v="647"/>
    <n v="0.35"/>
    <x v="9"/>
    <n v="4.5999999999999996"/>
    <n v="227"/>
    <x v="0"/>
    <s v="Medium Discount"/>
    <s v="Low Price"/>
  </r>
  <r>
    <x v="16"/>
    <n v="998"/>
    <n v="1966"/>
    <n v="0.49"/>
    <x v="10"/>
    <n v="4.5999999999999996"/>
    <n v="968"/>
    <x v="0"/>
    <s v="High Discount"/>
    <s v="Low Price"/>
  </r>
  <r>
    <x v="17"/>
    <n v="2199"/>
    <n v="2923"/>
    <n v="0.25"/>
    <x v="11"/>
    <n v="4.5999999999999996"/>
    <n v="724"/>
    <x v="0"/>
    <s v="Medium Discount"/>
    <s v="High Price"/>
  </r>
  <r>
    <x v="18"/>
    <n v="2999"/>
    <n v="3699"/>
    <n v="0.19"/>
    <x v="4"/>
    <n v="4.5999999999999996"/>
    <n v="700"/>
    <x v="0"/>
    <s v="Low Discount"/>
    <s v="High Price"/>
  </r>
  <r>
    <x v="19"/>
    <n v="1980"/>
    <n v="2699"/>
    <n v="0.27"/>
    <x v="12"/>
    <n v="4.5"/>
    <n v="719"/>
    <x v="0"/>
    <s v="Medium Discount"/>
    <s v="Medium Price"/>
  </r>
  <r>
    <x v="20"/>
    <n v="501"/>
    <n v="860"/>
    <n v="0.42"/>
    <x v="13"/>
    <n v="4.5"/>
    <n v="359"/>
    <x v="0"/>
    <s v="High Discount"/>
    <s v="Low Price"/>
  </r>
  <r>
    <x v="21"/>
    <n v="950"/>
    <n v="1525"/>
    <n v="0.38"/>
    <x v="1"/>
    <n v="4.5"/>
    <n v="575"/>
    <x v="0"/>
    <s v="Medium Discount"/>
    <s v="Low Price"/>
  </r>
  <r>
    <x v="22"/>
    <n v="1650"/>
    <n v="2150"/>
    <n v="0.23"/>
    <x v="14"/>
    <n v="4.4000000000000004"/>
    <n v="500"/>
    <x v="1"/>
    <s v="Medium Discount"/>
    <s v="Medium Price"/>
  </r>
  <r>
    <x v="23"/>
    <n v="389"/>
    <n v="656"/>
    <n v="0.41"/>
    <x v="15"/>
    <n v="4.3"/>
    <n v="267"/>
    <x v="1"/>
    <s v="High Discount"/>
    <s v="Low Price"/>
  </r>
  <r>
    <x v="24"/>
    <n v="185"/>
    <n v="382"/>
    <n v="0.52"/>
    <x v="16"/>
    <n v="4.3"/>
    <n v="197"/>
    <x v="1"/>
    <s v="High Discount"/>
    <s v="Low Price"/>
  </r>
  <r>
    <x v="25"/>
    <n v="1820"/>
    <n v="3490"/>
    <n v="0.48"/>
    <x v="16"/>
    <n v="4.3"/>
    <n v="1670"/>
    <x v="1"/>
    <s v="High Discount"/>
    <s v="Medium Price"/>
  </r>
  <r>
    <x v="26"/>
    <n v="2048"/>
    <n v="4500"/>
    <n v="0.54"/>
    <x v="7"/>
    <n v="4.3"/>
    <n v="2452"/>
    <x v="1"/>
    <s v="High Discount"/>
    <s v="High Price"/>
  </r>
  <r>
    <x v="27"/>
    <n v="1680"/>
    <n v="2499"/>
    <n v="0.33"/>
    <x v="16"/>
    <n v="4.2"/>
    <n v="819"/>
    <x v="1"/>
    <s v="Medium Discount"/>
    <s v="Medium Price"/>
  </r>
  <r>
    <x v="28"/>
    <n v="1758"/>
    <n v="2499"/>
    <n v="0.3"/>
    <x v="6"/>
    <n v="4.0999999999999996"/>
    <n v="741"/>
    <x v="1"/>
    <s v="Medium Discount"/>
    <s v="Medium Price"/>
  </r>
  <r>
    <x v="29"/>
    <n v="527"/>
    <n v="999"/>
    <n v="0.47"/>
    <x v="14"/>
    <n v="4.0999999999999996"/>
    <n v="472"/>
    <x v="1"/>
    <s v="High Discount"/>
    <s v="Low Price"/>
  </r>
  <r>
    <x v="30"/>
    <n v="799"/>
    <n v="999"/>
    <n v="0.2"/>
    <x v="3"/>
    <n v="4.0999999999999996"/>
    <n v="200"/>
    <x v="1"/>
    <s v="Medium Discount"/>
    <s v="Low Price"/>
  </r>
  <r>
    <x v="31"/>
    <n v="2999"/>
    <n v="3290"/>
    <n v="0.09"/>
    <x v="17"/>
    <n v="4"/>
    <n v="291"/>
    <x v="1"/>
    <s v="Low Discount"/>
    <s v="High Price"/>
  </r>
  <r>
    <x v="32"/>
    <n v="880"/>
    <n v="1350"/>
    <n v="0.35"/>
    <x v="13"/>
    <n v="4"/>
    <n v="470"/>
    <x v="1"/>
    <s v="Medium Discount"/>
    <s v="Low Price"/>
  </r>
  <r>
    <x v="33"/>
    <n v="988"/>
    <n v="1580"/>
    <n v="0.37"/>
    <x v="1"/>
    <n v="4"/>
    <n v="592"/>
    <x v="1"/>
    <s v="Medium Discount"/>
    <s v="Low Price"/>
  </r>
  <r>
    <x v="34"/>
    <n v="330"/>
    <n v="647"/>
    <n v="0.49"/>
    <x v="2"/>
    <n v="4"/>
    <n v="317"/>
    <x v="1"/>
    <s v="High Discount"/>
    <s v="Low Price"/>
  </r>
  <r>
    <x v="35"/>
    <n v="1350"/>
    <n v="1990"/>
    <n v="0.32"/>
    <x v="18"/>
    <n v="3.8"/>
    <n v="640"/>
    <x v="1"/>
    <s v="Medium Discount"/>
    <s v="Medium Price"/>
  </r>
  <r>
    <x v="36"/>
    <n v="2880"/>
    <n v="3520"/>
    <n v="0.18"/>
    <x v="3"/>
    <n v="3.8"/>
    <n v="640"/>
    <x v="1"/>
    <s v="Low Discount"/>
    <s v="High Price"/>
  </r>
  <r>
    <x v="37"/>
    <n v="1600"/>
    <n v="2929"/>
    <n v="0.45"/>
    <x v="4"/>
    <n v="3.8"/>
    <n v="1329"/>
    <x v="1"/>
    <s v="High Discount"/>
    <s v="Medium Price"/>
  </r>
  <r>
    <x v="38"/>
    <n v="38"/>
    <n v="80"/>
    <n v="0.53"/>
    <x v="18"/>
    <n v="3.3"/>
    <n v="42"/>
    <x v="1"/>
    <s v="High Discount"/>
    <s v="Low Price"/>
  </r>
  <r>
    <x v="39"/>
    <n v="458"/>
    <n v="986"/>
    <n v="0.54"/>
    <x v="19"/>
    <n v="3"/>
    <n v="528"/>
    <x v="1"/>
    <s v="High Discount"/>
    <s v="Low Price"/>
  </r>
  <r>
    <x v="40"/>
    <n v="509"/>
    <n v="899"/>
    <n v="0.43"/>
    <x v="4"/>
    <n v="3"/>
    <n v="390"/>
    <x v="1"/>
    <s v="High Discount"/>
    <s v="Low Price"/>
  </r>
  <r>
    <x v="41"/>
    <n v="2300"/>
    <n v="3240"/>
    <n v="0.28999999999999998"/>
    <x v="4"/>
    <n v="3"/>
    <n v="940"/>
    <x v="1"/>
    <s v="Medium Discount"/>
    <s v="High Price"/>
  </r>
  <r>
    <x v="42"/>
    <n v="3750"/>
    <n v="6143"/>
    <n v="0.39"/>
    <x v="4"/>
    <n v="3"/>
    <n v="2393"/>
    <x v="1"/>
    <s v="Medium Discount"/>
    <s v="High Price"/>
  </r>
  <r>
    <x v="43"/>
    <n v="1189"/>
    <n v="2199"/>
    <n v="0.46"/>
    <x v="2"/>
    <n v="3"/>
    <n v="1010"/>
    <x v="1"/>
    <s v="High Discount"/>
    <s v="Medium Price"/>
  </r>
  <r>
    <x v="44"/>
    <n v="1220"/>
    <n v="1555"/>
    <n v="0.22"/>
    <x v="20"/>
    <n v="2.9"/>
    <n v="335"/>
    <x v="2"/>
    <s v="Medium Discount"/>
    <s v="Medium Price"/>
  </r>
  <r>
    <x v="45"/>
    <n v="445"/>
    <n v="873"/>
    <n v="0.49"/>
    <x v="21"/>
    <n v="2.8"/>
    <n v="428"/>
    <x v="2"/>
    <s v="High Discount"/>
    <s v="Low Price"/>
  </r>
  <r>
    <x v="46"/>
    <n v="325"/>
    <n v="680"/>
    <n v="0.52"/>
    <x v="17"/>
    <n v="2.7"/>
    <n v="355"/>
    <x v="2"/>
    <s v="High Discount"/>
    <s v="Low Price"/>
  </r>
  <r>
    <x v="47"/>
    <n v="382"/>
    <n v="700"/>
    <n v="0.45"/>
    <x v="22"/>
    <n v="2.6"/>
    <n v="318"/>
    <x v="2"/>
    <s v="High Discount"/>
    <s v="Low Price"/>
  </r>
  <r>
    <x v="48"/>
    <n v="2170"/>
    <n v="2500"/>
    <n v="0.13"/>
    <x v="13"/>
    <n v="2.5"/>
    <n v="330"/>
    <x v="2"/>
    <s v="Low Discount"/>
    <s v="High Price"/>
  </r>
  <r>
    <x v="49"/>
    <n v="1000"/>
    <n v="2000"/>
    <n v="0.5"/>
    <x v="7"/>
    <n v="2.2999999999999998"/>
    <n v="1000"/>
    <x v="2"/>
    <s v="High Discount"/>
    <s v="Medium Price"/>
  </r>
  <r>
    <x v="50"/>
    <n v="345"/>
    <n v="602"/>
    <n v="0.43"/>
    <x v="13"/>
    <n v="2.2999999999999998"/>
    <n v="257"/>
    <x v="2"/>
    <s v="High Discount"/>
    <s v="Low Price"/>
  </r>
  <r>
    <x v="51"/>
    <n v="968"/>
    <n v="1814"/>
    <n v="0.47"/>
    <x v="13"/>
    <n v="2.2000000000000002"/>
    <n v="846"/>
    <x v="2"/>
    <s v="High Discount"/>
    <s v="Low Price"/>
  </r>
  <r>
    <x v="52"/>
    <n v="990"/>
    <n v="1814"/>
    <n v="0.45"/>
    <x v="13"/>
    <n v="2.2000000000000002"/>
    <n v="824"/>
    <x v="2"/>
    <s v="High Discount"/>
    <s v="Low Price"/>
  </r>
  <r>
    <x v="53"/>
    <n v="2115"/>
    <n v="4700"/>
    <n v="0.55000000000000004"/>
    <x v="18"/>
    <n v="2.1"/>
    <n v="2585"/>
    <x v="2"/>
    <s v="High Discount"/>
    <s v="High Price"/>
  </r>
  <r>
    <x v="54"/>
    <n v="1570"/>
    <n v="2988"/>
    <n v="0.47"/>
    <x v="7"/>
    <n v="2.1"/>
    <n v="1418"/>
    <x v="2"/>
    <s v="High Discount"/>
    <s v="Medium Price"/>
  </r>
  <r>
    <x v="55"/>
    <n v="450"/>
    <n v="900"/>
    <n v="0.5"/>
    <x v="2"/>
    <n v="2"/>
    <n v="450"/>
    <x v="2"/>
    <s v="High Discount"/>
    <s v="Low Price"/>
  </r>
  <r>
    <x v="56"/>
    <n v="105"/>
    <n v="200"/>
    <n v="0.48"/>
    <x v="23"/>
    <m/>
    <n v="95"/>
    <x v="3"/>
    <s v="High Discount"/>
    <s v="Low Price"/>
  </r>
  <r>
    <x v="57"/>
    <n v="169"/>
    <n v="320"/>
    <n v="0.47"/>
    <x v="23"/>
    <m/>
    <n v="151"/>
    <x v="3"/>
    <s v="High Discount"/>
    <s v="Low Price"/>
  </r>
  <r>
    <x v="58"/>
    <n v="176"/>
    <n v="345"/>
    <n v="0.49"/>
    <x v="23"/>
    <m/>
    <n v="169"/>
    <x v="3"/>
    <s v="High Discount"/>
    <s v="Low Price"/>
  </r>
  <r>
    <x v="59"/>
    <n v="198"/>
    <n v="260"/>
    <n v="0.24"/>
    <x v="23"/>
    <m/>
    <n v="62"/>
    <x v="3"/>
    <s v="Medium Discount"/>
    <s v="Low Price"/>
  </r>
  <r>
    <x v="58"/>
    <n v="199"/>
    <n v="504"/>
    <n v="0.61"/>
    <x v="23"/>
    <m/>
    <n v="305"/>
    <x v="3"/>
    <s v="High Discount"/>
    <s v="Low Price"/>
  </r>
  <r>
    <x v="60"/>
    <n v="199"/>
    <n v="553"/>
    <n v="0.64"/>
    <x v="23"/>
    <m/>
    <n v="354"/>
    <x v="3"/>
    <s v="High Discount"/>
    <s v="Low Price"/>
  </r>
  <r>
    <x v="61"/>
    <n v="230"/>
    <n v="450"/>
    <n v="0.49"/>
    <x v="23"/>
    <m/>
    <n v="220"/>
    <x v="3"/>
    <s v="High Discount"/>
    <s v="Low Price"/>
  </r>
  <r>
    <x v="62"/>
    <n v="238"/>
    <n v="476"/>
    <n v="0.5"/>
    <x v="23"/>
    <m/>
    <n v="238"/>
    <x v="3"/>
    <s v="High Discount"/>
    <s v="Low Price"/>
  </r>
  <r>
    <x v="63"/>
    <n v="248"/>
    <n v="486"/>
    <n v="0.49"/>
    <x v="23"/>
    <m/>
    <n v="238"/>
    <x v="3"/>
    <s v="High Discount"/>
    <s v="Low Price"/>
  </r>
  <r>
    <x v="64"/>
    <n v="274"/>
    <n v="537"/>
    <n v="0.49"/>
    <x v="23"/>
    <m/>
    <n v="263"/>
    <x v="3"/>
    <s v="High Discount"/>
    <s v="Low Price"/>
  </r>
  <r>
    <x v="65"/>
    <n v="299"/>
    <n v="384"/>
    <n v="0.22"/>
    <x v="23"/>
    <m/>
    <n v="85"/>
    <x v="3"/>
    <s v="Medium Discount"/>
    <s v="Low Price"/>
  </r>
  <r>
    <x v="66"/>
    <n v="299"/>
    <n v="600"/>
    <n v="0.5"/>
    <x v="23"/>
    <m/>
    <n v="301"/>
    <x v="3"/>
    <s v="High Discount"/>
    <s v="Low Price"/>
  </r>
  <r>
    <x v="67"/>
    <n v="399"/>
    <n v="896"/>
    <n v="0.55000000000000004"/>
    <x v="23"/>
    <m/>
    <n v="497"/>
    <x v="3"/>
    <s v="High Discount"/>
    <s v="Low Price"/>
  </r>
  <r>
    <x v="68"/>
    <n v="475"/>
    <n v="931"/>
    <n v="0.49"/>
    <x v="23"/>
    <m/>
    <n v="456"/>
    <x v="3"/>
    <s v="High Discount"/>
    <s v="Low Price"/>
  </r>
  <r>
    <x v="67"/>
    <n v="499"/>
    <n v="900"/>
    <n v="0.45"/>
    <x v="23"/>
    <m/>
    <n v="401"/>
    <x v="3"/>
    <s v="High Discount"/>
    <s v="Low Price"/>
  </r>
  <r>
    <x v="69"/>
    <n v="525"/>
    <n v="1029"/>
    <n v="0.49"/>
    <x v="23"/>
    <m/>
    <n v="504"/>
    <x v="3"/>
    <s v="High Discount"/>
    <s v="Low Price"/>
  </r>
  <r>
    <x v="70"/>
    <n v="610"/>
    <n v="1060"/>
    <n v="0.42"/>
    <x v="23"/>
    <m/>
    <n v="450"/>
    <x v="3"/>
    <s v="High Discount"/>
    <s v="Low Price"/>
  </r>
  <r>
    <x v="71"/>
    <n v="630"/>
    <n v="1100"/>
    <n v="0.43"/>
    <x v="23"/>
    <m/>
    <n v="470"/>
    <x v="3"/>
    <s v="High Discount"/>
    <s v="Low Price"/>
  </r>
  <r>
    <x v="72"/>
    <n v="657"/>
    <n v="1288"/>
    <n v="0.49"/>
    <x v="23"/>
    <m/>
    <n v="631"/>
    <x v="3"/>
    <s v="High Discount"/>
    <s v="Low Price"/>
  </r>
  <r>
    <x v="73"/>
    <n v="671"/>
    <n v="1316"/>
    <n v="0.49"/>
    <x v="23"/>
    <m/>
    <n v="645"/>
    <x v="3"/>
    <s v="High Discount"/>
    <s v="Low Price"/>
  </r>
  <r>
    <x v="74"/>
    <n v="690"/>
    <n v="1200"/>
    <n v="0.43"/>
    <x v="23"/>
    <m/>
    <n v="510"/>
    <x v="3"/>
    <s v="High Discount"/>
    <s v="Low Price"/>
  </r>
  <r>
    <x v="75"/>
    <n v="699"/>
    <n v="1343"/>
    <n v="0.48"/>
    <x v="23"/>
    <m/>
    <n v="644"/>
    <x v="3"/>
    <s v="High Discount"/>
    <s v="Low Price"/>
  </r>
  <r>
    <x v="76"/>
    <n v="790"/>
    <n v="1485"/>
    <n v="0.47"/>
    <x v="23"/>
    <m/>
    <n v="695"/>
    <x v="3"/>
    <s v="High Discount"/>
    <s v="Low Price"/>
  </r>
  <r>
    <x v="77"/>
    <n v="799"/>
    <n v="900"/>
    <n v="0.11"/>
    <x v="23"/>
    <m/>
    <n v="101"/>
    <x v="3"/>
    <s v="Low Discount"/>
    <s v="Low Price"/>
  </r>
  <r>
    <x v="78"/>
    <n v="799"/>
    <n v="1343"/>
    <n v="0.41"/>
    <x v="23"/>
    <m/>
    <n v="544"/>
    <x v="3"/>
    <s v="High Discount"/>
    <s v="Low Price"/>
  </r>
  <r>
    <x v="72"/>
    <n v="799"/>
    <n v="1567"/>
    <n v="0.49"/>
    <x v="23"/>
    <m/>
    <n v="768"/>
    <x v="3"/>
    <s v="High Discount"/>
    <s v="Low Price"/>
  </r>
  <r>
    <x v="79"/>
    <n v="850"/>
    <n v="1700"/>
    <n v="0.5"/>
    <x v="23"/>
    <m/>
    <n v="850"/>
    <x v="3"/>
    <s v="High Discount"/>
    <s v="Low Price"/>
  </r>
  <r>
    <x v="80"/>
    <n v="899"/>
    <n v="1699"/>
    <n v="0.47"/>
    <x v="23"/>
    <m/>
    <n v="800"/>
    <x v="3"/>
    <s v="High Discount"/>
    <s v="Low Price"/>
  </r>
  <r>
    <x v="81"/>
    <n v="999"/>
    <n v="2000"/>
    <n v="0.5"/>
    <x v="23"/>
    <m/>
    <n v="1001"/>
    <x v="3"/>
    <s v="High Discount"/>
    <s v="Low Price"/>
  </r>
  <r>
    <x v="82"/>
    <n v="1080"/>
    <n v="1874"/>
    <n v="0.42"/>
    <x v="23"/>
    <m/>
    <n v="794"/>
    <x v="3"/>
    <s v="High Discount"/>
    <s v="Medium Price"/>
  </r>
  <r>
    <x v="83"/>
    <n v="1150"/>
    <n v="1737"/>
    <n v="0.34"/>
    <x v="23"/>
    <m/>
    <n v="587"/>
    <x v="3"/>
    <s v="Medium Discount"/>
    <s v="Medium Price"/>
  </r>
  <r>
    <x v="84"/>
    <n v="1190"/>
    <n v="1785"/>
    <n v="0.33"/>
    <x v="23"/>
    <m/>
    <n v="595"/>
    <x v="3"/>
    <s v="Medium Discount"/>
    <s v="Medium Price"/>
  </r>
  <r>
    <x v="85"/>
    <n v="1190"/>
    <n v="1810"/>
    <n v="0.34"/>
    <x v="23"/>
    <m/>
    <n v="620"/>
    <x v="3"/>
    <s v="Medium Discount"/>
    <s v="Medium Price"/>
  </r>
  <r>
    <x v="86"/>
    <n v="1200"/>
    <n v="1950"/>
    <n v="0.38"/>
    <x v="23"/>
    <m/>
    <n v="750"/>
    <x v="3"/>
    <s v="Medium Discount"/>
    <s v="Medium Price"/>
  </r>
  <r>
    <x v="87"/>
    <n v="1200"/>
    <n v="2400"/>
    <n v="0.5"/>
    <x v="23"/>
    <m/>
    <n v="1200"/>
    <x v="3"/>
    <s v="High Discount"/>
    <s v="Medium Price"/>
  </r>
  <r>
    <x v="88"/>
    <n v="1300"/>
    <n v="2500"/>
    <n v="0.48"/>
    <x v="23"/>
    <m/>
    <n v="1200"/>
    <x v="3"/>
    <s v="High Discount"/>
    <s v="Medium Price"/>
  </r>
  <r>
    <x v="89"/>
    <n v="1420"/>
    <n v="2420"/>
    <n v="0.41"/>
    <x v="23"/>
    <m/>
    <n v="1000"/>
    <x v="3"/>
    <s v="High Discount"/>
    <s v="Medium Price"/>
  </r>
  <r>
    <x v="90"/>
    <n v="1459"/>
    <n v="1499"/>
    <n v="0.03"/>
    <x v="23"/>
    <m/>
    <n v="40"/>
    <x v="3"/>
    <s v="Low Discount"/>
    <s v="Medium Price"/>
  </r>
  <r>
    <x v="91"/>
    <n v="1460"/>
    <n v="2290"/>
    <n v="0.36"/>
    <x v="23"/>
    <m/>
    <n v="830"/>
    <x v="3"/>
    <s v="Medium Discount"/>
    <s v="Medium Price"/>
  </r>
  <r>
    <x v="92"/>
    <n v="1462"/>
    <n v="1499"/>
    <n v="0.02"/>
    <x v="23"/>
    <m/>
    <n v="37"/>
    <x v="3"/>
    <s v="Low Discount"/>
    <s v="Medium Price"/>
  </r>
  <r>
    <x v="93"/>
    <n v="1466"/>
    <n v="1699"/>
    <n v="0.14000000000000001"/>
    <x v="23"/>
    <m/>
    <n v="233"/>
    <x v="3"/>
    <s v="Low Discount"/>
    <s v="Medium Price"/>
  </r>
  <r>
    <x v="94"/>
    <n v="1468"/>
    <n v="1699"/>
    <n v="0.14000000000000001"/>
    <x v="23"/>
    <m/>
    <n v="231"/>
    <x v="3"/>
    <s v="Low Discount"/>
    <s v="Medium Price"/>
  </r>
  <r>
    <x v="95"/>
    <n v="1526"/>
    <n v="1660"/>
    <n v="0.08"/>
    <x v="23"/>
    <m/>
    <n v="134"/>
    <x v="3"/>
    <s v="Low Discount"/>
    <s v="Medium Price"/>
  </r>
  <r>
    <x v="96"/>
    <n v="1658"/>
    <n v="1699"/>
    <n v="0.02"/>
    <x v="23"/>
    <m/>
    <n v="41"/>
    <x v="3"/>
    <s v="Low Discount"/>
    <s v="Medium Price"/>
  </r>
  <r>
    <x v="97"/>
    <n v="1660"/>
    <n v="1699"/>
    <n v="0.02"/>
    <x v="23"/>
    <m/>
    <n v="39"/>
    <x v="3"/>
    <s v="Low Discount"/>
    <s v="Medium Price"/>
  </r>
  <r>
    <x v="98"/>
    <n v="1666"/>
    <n v="1699"/>
    <n v="0.02"/>
    <x v="23"/>
    <m/>
    <n v="33"/>
    <x v="3"/>
    <s v="Low Discount"/>
    <s v="Medium Price"/>
  </r>
  <r>
    <x v="99"/>
    <n v="1732"/>
    <n v="1799"/>
    <n v="0.04"/>
    <x v="23"/>
    <m/>
    <n v="67"/>
    <x v="3"/>
    <s v="Low Discount"/>
    <s v="Medium Price"/>
  </r>
  <r>
    <x v="100"/>
    <n v="1768"/>
    <n v="1799"/>
    <n v="0.02"/>
    <x v="23"/>
    <m/>
    <n v="31"/>
    <x v="3"/>
    <s v="Low Discount"/>
    <s v="Medium Price"/>
  </r>
  <r>
    <x v="101"/>
    <n v="1860"/>
    <n v="3220"/>
    <n v="0.42"/>
    <x v="23"/>
    <m/>
    <n v="1360"/>
    <x v="3"/>
    <s v="High Discount"/>
    <s v="Medium Price"/>
  </r>
  <r>
    <x v="102"/>
    <n v="1875"/>
    <n v="1899"/>
    <n v="0.01"/>
    <x v="23"/>
    <m/>
    <n v="24"/>
    <x v="3"/>
    <s v="Low Discount"/>
    <s v="Medium Price"/>
  </r>
  <r>
    <x v="103"/>
    <n v="2132"/>
    <n v="2169"/>
    <n v="0.02"/>
    <x v="23"/>
    <m/>
    <n v="37"/>
    <x v="3"/>
    <s v="Low Discount"/>
    <s v="High Price"/>
  </r>
  <r>
    <x v="104"/>
    <n v="2200"/>
    <n v="4080"/>
    <n v="0.46"/>
    <x v="23"/>
    <m/>
    <n v="1880"/>
    <x v="3"/>
    <s v="High Discount"/>
    <s v="High Price"/>
  </r>
  <r>
    <x v="105"/>
    <n v="2750"/>
    <n v="4471"/>
    <n v="0.38"/>
    <x v="23"/>
    <m/>
    <n v="1721"/>
    <x v="3"/>
    <s v="Medium Discount"/>
    <s v="High Price"/>
  </r>
  <r>
    <x v="106"/>
    <n v="2799"/>
    <n v="3810"/>
    <n v="0.27"/>
    <x v="23"/>
    <m/>
    <n v="1011"/>
    <x v="3"/>
    <s v="Medium Discount"/>
    <s v="High Price"/>
  </r>
  <r>
    <x v="107"/>
    <n v="3546"/>
    <n v="3699"/>
    <n v="0.04"/>
    <x v="23"/>
    <m/>
    <n v="153"/>
    <x v="3"/>
    <s v="Low Discount"/>
    <s v="High Price"/>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1">
  <r>
    <x v="0"/>
    <x v="0"/>
    <n v="4500"/>
    <x v="0"/>
    <x v="0"/>
    <x v="0"/>
    <n v="2452"/>
    <x v="0"/>
    <x v="0"/>
    <s v="High Price"/>
  </r>
  <r>
    <x v="1"/>
    <x v="1"/>
    <n v="986"/>
    <x v="0"/>
    <x v="1"/>
    <x v="1"/>
    <n v="528"/>
    <x v="0"/>
    <x v="0"/>
    <s v="Low Price"/>
  </r>
  <r>
    <x v="2"/>
    <x v="2"/>
    <n v="80"/>
    <x v="1"/>
    <x v="2"/>
    <x v="2"/>
    <n v="42"/>
    <x v="0"/>
    <x v="0"/>
    <s v="Low Price"/>
  </r>
  <r>
    <x v="3"/>
    <x v="3"/>
    <n v="382"/>
    <x v="2"/>
    <x v="3"/>
    <x v="0"/>
    <n v="197"/>
    <x v="0"/>
    <x v="0"/>
    <s v="Low Price"/>
  </r>
  <r>
    <x v="4"/>
    <x v="4"/>
    <n v="647"/>
    <x v="3"/>
    <x v="4"/>
    <x v="3"/>
    <n v="317"/>
    <x v="0"/>
    <x v="0"/>
    <s v="Low Price"/>
  </r>
  <r>
    <x v="5"/>
    <x v="5"/>
    <n v="3490"/>
    <x v="4"/>
    <x v="3"/>
    <x v="0"/>
    <n v="1670"/>
    <x v="0"/>
    <x v="0"/>
    <s v="Medium Price"/>
  </r>
  <r>
    <x v="6"/>
    <x v="6"/>
    <n v="999"/>
    <x v="5"/>
    <x v="5"/>
    <x v="4"/>
    <n v="472"/>
    <x v="0"/>
    <x v="0"/>
    <s v="Low Price"/>
  </r>
  <r>
    <x v="7"/>
    <x v="7"/>
    <n v="2199"/>
    <x v="6"/>
    <x v="4"/>
    <x v="1"/>
    <n v="1010"/>
    <x v="0"/>
    <x v="0"/>
    <s v="Medium Price"/>
  </r>
  <r>
    <x v="8"/>
    <x v="8"/>
    <n v="2929"/>
    <x v="7"/>
    <x v="6"/>
    <x v="5"/>
    <n v="1329"/>
    <x v="0"/>
    <x v="0"/>
    <s v="Medium Price"/>
  </r>
  <r>
    <x v="9"/>
    <x v="9"/>
    <n v="899"/>
    <x v="8"/>
    <x v="6"/>
    <x v="1"/>
    <n v="390"/>
    <x v="0"/>
    <x v="0"/>
    <s v="Low Price"/>
  </r>
  <r>
    <x v="10"/>
    <x v="10"/>
    <n v="656"/>
    <x v="9"/>
    <x v="7"/>
    <x v="0"/>
    <n v="267"/>
    <x v="0"/>
    <x v="0"/>
    <s v="Low Price"/>
  </r>
  <r>
    <x v="11"/>
    <x v="11"/>
    <n v="6143"/>
    <x v="10"/>
    <x v="6"/>
    <x v="1"/>
    <n v="2393"/>
    <x v="0"/>
    <x v="1"/>
    <s v="High Price"/>
  </r>
  <r>
    <x v="12"/>
    <x v="12"/>
    <n v="1580"/>
    <x v="11"/>
    <x v="8"/>
    <x v="3"/>
    <n v="592"/>
    <x v="0"/>
    <x v="1"/>
    <s v="Low Price"/>
  </r>
  <r>
    <x v="13"/>
    <x v="13"/>
    <n v="1350"/>
    <x v="12"/>
    <x v="9"/>
    <x v="3"/>
    <n v="470"/>
    <x v="0"/>
    <x v="1"/>
    <s v="Low Price"/>
  </r>
  <r>
    <x v="14"/>
    <x v="14"/>
    <n v="2499"/>
    <x v="13"/>
    <x v="3"/>
    <x v="6"/>
    <n v="819"/>
    <x v="0"/>
    <x v="1"/>
    <s v="Medium Price"/>
  </r>
  <r>
    <x v="15"/>
    <x v="15"/>
    <n v="1990"/>
    <x v="14"/>
    <x v="2"/>
    <x v="5"/>
    <n v="640"/>
    <x v="0"/>
    <x v="1"/>
    <s v="Medium Price"/>
  </r>
  <r>
    <x v="16"/>
    <x v="16"/>
    <n v="2499"/>
    <x v="15"/>
    <x v="10"/>
    <x v="4"/>
    <n v="741"/>
    <x v="0"/>
    <x v="1"/>
    <s v="Medium Price"/>
  </r>
  <r>
    <x v="17"/>
    <x v="17"/>
    <n v="3240"/>
    <x v="16"/>
    <x v="6"/>
    <x v="1"/>
    <n v="940"/>
    <x v="0"/>
    <x v="1"/>
    <s v="High Price"/>
  </r>
  <r>
    <x v="18"/>
    <x v="18"/>
    <n v="2150"/>
    <x v="17"/>
    <x v="5"/>
    <x v="7"/>
    <n v="500"/>
    <x v="0"/>
    <x v="1"/>
    <s v="Medium Price"/>
  </r>
  <r>
    <x v="19"/>
    <x v="19"/>
    <n v="999"/>
    <x v="18"/>
    <x v="11"/>
    <x v="4"/>
    <n v="200"/>
    <x v="0"/>
    <x v="1"/>
    <s v="Low Price"/>
  </r>
  <r>
    <x v="20"/>
    <x v="20"/>
    <n v="3520"/>
    <x v="19"/>
    <x v="11"/>
    <x v="5"/>
    <n v="640"/>
    <x v="0"/>
    <x v="2"/>
    <s v="High Price"/>
  </r>
  <r>
    <x v="21"/>
    <x v="21"/>
    <n v="3290"/>
    <x v="20"/>
    <x v="12"/>
    <x v="3"/>
    <n v="291"/>
    <x v="0"/>
    <x v="2"/>
    <s v="High Price"/>
  </r>
  <r>
    <x v="22"/>
    <x v="22"/>
    <n v="2800"/>
    <x v="21"/>
    <x v="6"/>
    <x v="8"/>
    <n v="1526"/>
    <x v="1"/>
    <x v="0"/>
    <s v="Medium Price"/>
  </r>
  <r>
    <x v="23"/>
    <x v="23"/>
    <n v="360"/>
    <x v="1"/>
    <x v="8"/>
    <x v="9"/>
    <n v="189"/>
    <x v="1"/>
    <x v="0"/>
    <s v="Low Price"/>
  </r>
  <r>
    <x v="24"/>
    <x v="24"/>
    <n v="684"/>
    <x v="22"/>
    <x v="8"/>
    <x v="9"/>
    <n v="352"/>
    <x v="1"/>
    <x v="0"/>
    <s v="Low Price"/>
  </r>
  <r>
    <x v="25"/>
    <x v="25"/>
    <n v="3971"/>
    <x v="3"/>
    <x v="13"/>
    <x v="9"/>
    <n v="1946"/>
    <x v="1"/>
    <x v="0"/>
    <s v="High Price"/>
  </r>
  <r>
    <x v="26"/>
    <x v="26"/>
    <n v="1920"/>
    <x v="3"/>
    <x v="4"/>
    <x v="9"/>
    <n v="941"/>
    <x v="1"/>
    <x v="0"/>
    <s v="Low Price"/>
  </r>
  <r>
    <x v="27"/>
    <x v="27"/>
    <n v="1966"/>
    <x v="3"/>
    <x v="14"/>
    <x v="10"/>
    <n v="968"/>
    <x v="1"/>
    <x v="0"/>
    <s v="Low Price"/>
  </r>
  <r>
    <x v="28"/>
    <x v="28"/>
    <n v="1035"/>
    <x v="5"/>
    <x v="11"/>
    <x v="8"/>
    <n v="483"/>
    <x v="1"/>
    <x v="0"/>
    <s v="Low Price"/>
  </r>
  <r>
    <x v="29"/>
    <x v="29"/>
    <n v="360"/>
    <x v="6"/>
    <x v="8"/>
    <x v="9"/>
    <n v="165"/>
    <x v="1"/>
    <x v="0"/>
    <s v="Low Price"/>
  </r>
  <r>
    <x v="30"/>
    <x v="30"/>
    <n v="860"/>
    <x v="23"/>
    <x v="9"/>
    <x v="11"/>
    <n v="359"/>
    <x v="1"/>
    <x v="0"/>
    <s v="Low Price"/>
  </r>
  <r>
    <x v="31"/>
    <x v="31"/>
    <n v="2690"/>
    <x v="24"/>
    <x v="4"/>
    <x v="9"/>
    <n v="1070"/>
    <x v="1"/>
    <x v="1"/>
    <s v="Medium Price"/>
  </r>
  <r>
    <x v="32"/>
    <x v="32"/>
    <n v="1525"/>
    <x v="25"/>
    <x v="8"/>
    <x v="11"/>
    <n v="575"/>
    <x v="1"/>
    <x v="1"/>
    <s v="Low Price"/>
  </r>
  <r>
    <x v="33"/>
    <x v="33"/>
    <n v="2499"/>
    <x v="11"/>
    <x v="0"/>
    <x v="12"/>
    <n v="919"/>
    <x v="1"/>
    <x v="1"/>
    <s v="Medium Price"/>
  </r>
  <r>
    <x v="34"/>
    <x v="34"/>
    <n v="647"/>
    <x v="12"/>
    <x v="15"/>
    <x v="10"/>
    <n v="227"/>
    <x v="1"/>
    <x v="1"/>
    <s v="Low Price"/>
  </r>
  <r>
    <x v="35"/>
    <x v="35"/>
    <n v="1500"/>
    <x v="26"/>
    <x v="16"/>
    <x v="12"/>
    <n v="510"/>
    <x v="1"/>
    <x v="1"/>
    <s v="Low Price"/>
  </r>
  <r>
    <x v="36"/>
    <x v="36"/>
    <n v="1490"/>
    <x v="26"/>
    <x v="11"/>
    <x v="12"/>
    <n v="510"/>
    <x v="1"/>
    <x v="1"/>
    <s v="Low Price"/>
  </r>
  <r>
    <x v="37"/>
    <x v="37"/>
    <n v="2650"/>
    <x v="27"/>
    <x v="10"/>
    <x v="12"/>
    <n v="710"/>
    <x v="1"/>
    <x v="1"/>
    <s v="Medium Price"/>
  </r>
  <r>
    <x v="38"/>
    <x v="38"/>
    <n v="2699"/>
    <x v="27"/>
    <x v="17"/>
    <x v="11"/>
    <n v="719"/>
    <x v="1"/>
    <x v="1"/>
    <s v="Medium Price"/>
  </r>
  <r>
    <x v="39"/>
    <x v="39"/>
    <n v="2356"/>
    <x v="28"/>
    <x v="6"/>
    <x v="8"/>
    <n v="616"/>
    <x v="1"/>
    <x v="1"/>
    <s v="Medium Price"/>
  </r>
  <r>
    <x v="40"/>
    <x v="40"/>
    <n v="2923"/>
    <x v="29"/>
    <x v="18"/>
    <x v="10"/>
    <n v="724"/>
    <x v="1"/>
    <x v="1"/>
    <s v="High Price"/>
  </r>
  <r>
    <x v="41"/>
    <x v="41"/>
    <n v="3032"/>
    <x v="30"/>
    <x v="19"/>
    <x v="10"/>
    <n v="713"/>
    <x v="1"/>
    <x v="1"/>
    <s v="High Price"/>
  </r>
  <r>
    <x v="42"/>
    <x v="42"/>
    <n v="4588"/>
    <x v="31"/>
    <x v="4"/>
    <x v="9"/>
    <n v="948"/>
    <x v="1"/>
    <x v="1"/>
    <s v="High Price"/>
  </r>
  <r>
    <x v="43"/>
    <x v="21"/>
    <n v="3699"/>
    <x v="32"/>
    <x v="6"/>
    <x v="10"/>
    <n v="700"/>
    <x v="1"/>
    <x v="2"/>
    <s v="High Price"/>
  </r>
  <r>
    <x v="44"/>
    <x v="43"/>
    <n v="4700"/>
    <x v="21"/>
    <x v="2"/>
    <x v="13"/>
    <n v="2585"/>
    <x v="2"/>
    <x v="0"/>
    <s v="High Price"/>
  </r>
  <r>
    <x v="45"/>
    <x v="44"/>
    <n v="680"/>
    <x v="2"/>
    <x v="12"/>
    <x v="14"/>
    <n v="355"/>
    <x v="2"/>
    <x v="0"/>
    <s v="Low Price"/>
  </r>
  <r>
    <x v="46"/>
    <x v="45"/>
    <n v="2000"/>
    <x v="33"/>
    <x v="0"/>
    <x v="15"/>
    <n v="1000"/>
    <x v="2"/>
    <x v="0"/>
    <s v="Medium Price"/>
  </r>
  <r>
    <x v="47"/>
    <x v="46"/>
    <n v="900"/>
    <x v="33"/>
    <x v="4"/>
    <x v="16"/>
    <n v="450"/>
    <x v="2"/>
    <x v="0"/>
    <s v="Low Price"/>
  </r>
  <r>
    <x v="48"/>
    <x v="47"/>
    <n v="873"/>
    <x v="3"/>
    <x v="20"/>
    <x v="17"/>
    <n v="428"/>
    <x v="2"/>
    <x v="0"/>
    <s v="Low Price"/>
  </r>
  <r>
    <x v="49"/>
    <x v="48"/>
    <n v="1814"/>
    <x v="5"/>
    <x v="9"/>
    <x v="18"/>
    <n v="846"/>
    <x v="2"/>
    <x v="0"/>
    <s v="Low Price"/>
  </r>
  <r>
    <x v="50"/>
    <x v="49"/>
    <n v="2988"/>
    <x v="5"/>
    <x v="0"/>
    <x v="13"/>
    <n v="1418"/>
    <x v="2"/>
    <x v="0"/>
    <s v="Medium Price"/>
  </r>
  <r>
    <x v="51"/>
    <x v="50"/>
    <n v="700"/>
    <x v="7"/>
    <x v="21"/>
    <x v="19"/>
    <n v="318"/>
    <x v="2"/>
    <x v="0"/>
    <s v="Low Price"/>
  </r>
  <r>
    <x v="52"/>
    <x v="35"/>
    <n v="1814"/>
    <x v="7"/>
    <x v="9"/>
    <x v="18"/>
    <n v="824"/>
    <x v="2"/>
    <x v="0"/>
    <s v="Low Price"/>
  </r>
  <r>
    <x v="53"/>
    <x v="51"/>
    <n v="602"/>
    <x v="8"/>
    <x v="9"/>
    <x v="15"/>
    <n v="257"/>
    <x v="2"/>
    <x v="0"/>
    <s v="Low Price"/>
  </r>
  <r>
    <x v="54"/>
    <x v="52"/>
    <n v="1555"/>
    <x v="34"/>
    <x v="22"/>
    <x v="20"/>
    <n v="335"/>
    <x v="2"/>
    <x v="1"/>
    <s v="Medium Price"/>
  </r>
  <r>
    <x v="55"/>
    <x v="53"/>
    <n v="2500"/>
    <x v="35"/>
    <x v="9"/>
    <x v="21"/>
    <n v="330"/>
    <x v="2"/>
    <x v="2"/>
    <s v="High Price"/>
  </r>
  <r>
    <x v="56"/>
    <x v="54"/>
    <n v="553"/>
    <x v="36"/>
    <x v="23"/>
    <x v="22"/>
    <n v="354"/>
    <x v="3"/>
    <x v="0"/>
    <s v="Low Price"/>
  </r>
  <r>
    <x v="57"/>
    <x v="54"/>
    <n v="504"/>
    <x v="37"/>
    <x v="23"/>
    <x v="22"/>
    <n v="305"/>
    <x v="3"/>
    <x v="0"/>
    <s v="Low Price"/>
  </r>
  <r>
    <x v="58"/>
    <x v="55"/>
    <n v="896"/>
    <x v="21"/>
    <x v="23"/>
    <x v="22"/>
    <n v="497"/>
    <x v="3"/>
    <x v="0"/>
    <s v="Low Price"/>
  </r>
  <r>
    <x v="59"/>
    <x v="56"/>
    <n v="476"/>
    <x v="33"/>
    <x v="23"/>
    <x v="22"/>
    <n v="238"/>
    <x v="3"/>
    <x v="0"/>
    <s v="Low Price"/>
  </r>
  <r>
    <x v="60"/>
    <x v="57"/>
    <n v="600"/>
    <x v="33"/>
    <x v="23"/>
    <x v="22"/>
    <n v="301"/>
    <x v="3"/>
    <x v="0"/>
    <s v="Low Price"/>
  </r>
  <r>
    <x v="61"/>
    <x v="58"/>
    <n v="1700"/>
    <x v="33"/>
    <x v="23"/>
    <x v="22"/>
    <n v="850"/>
    <x v="3"/>
    <x v="0"/>
    <s v="Low Price"/>
  </r>
  <r>
    <x v="62"/>
    <x v="59"/>
    <n v="2000"/>
    <x v="33"/>
    <x v="23"/>
    <x v="22"/>
    <n v="1001"/>
    <x v="3"/>
    <x v="0"/>
    <s v="Low Price"/>
  </r>
  <r>
    <x v="63"/>
    <x v="60"/>
    <n v="2400"/>
    <x v="33"/>
    <x v="23"/>
    <x v="22"/>
    <n v="1200"/>
    <x v="3"/>
    <x v="0"/>
    <s v="Medium Price"/>
  </r>
  <r>
    <x v="57"/>
    <x v="61"/>
    <n v="345"/>
    <x v="3"/>
    <x v="23"/>
    <x v="22"/>
    <n v="169"/>
    <x v="3"/>
    <x v="0"/>
    <s v="Low Price"/>
  </r>
  <r>
    <x v="64"/>
    <x v="62"/>
    <n v="450"/>
    <x v="3"/>
    <x v="23"/>
    <x v="22"/>
    <n v="220"/>
    <x v="3"/>
    <x v="0"/>
    <s v="Low Price"/>
  </r>
  <r>
    <x v="65"/>
    <x v="63"/>
    <n v="486"/>
    <x v="3"/>
    <x v="23"/>
    <x v="22"/>
    <n v="238"/>
    <x v="3"/>
    <x v="0"/>
    <s v="Low Price"/>
  </r>
  <r>
    <x v="66"/>
    <x v="64"/>
    <n v="537"/>
    <x v="3"/>
    <x v="23"/>
    <x v="22"/>
    <n v="263"/>
    <x v="3"/>
    <x v="0"/>
    <s v="Low Price"/>
  </r>
  <r>
    <x v="67"/>
    <x v="65"/>
    <n v="931"/>
    <x v="3"/>
    <x v="23"/>
    <x v="22"/>
    <n v="456"/>
    <x v="3"/>
    <x v="0"/>
    <s v="Low Price"/>
  </r>
  <r>
    <x v="68"/>
    <x v="66"/>
    <n v="1029"/>
    <x v="3"/>
    <x v="23"/>
    <x v="22"/>
    <n v="504"/>
    <x v="3"/>
    <x v="0"/>
    <s v="Low Price"/>
  </r>
  <r>
    <x v="69"/>
    <x v="67"/>
    <n v="1288"/>
    <x v="3"/>
    <x v="23"/>
    <x v="22"/>
    <n v="631"/>
    <x v="3"/>
    <x v="0"/>
    <s v="Low Price"/>
  </r>
  <r>
    <x v="70"/>
    <x v="68"/>
    <n v="1316"/>
    <x v="3"/>
    <x v="23"/>
    <x v="22"/>
    <n v="645"/>
    <x v="3"/>
    <x v="0"/>
    <s v="Low Price"/>
  </r>
  <r>
    <x v="69"/>
    <x v="19"/>
    <n v="1567"/>
    <x v="3"/>
    <x v="23"/>
    <x v="22"/>
    <n v="768"/>
    <x v="3"/>
    <x v="0"/>
    <s v="Low Price"/>
  </r>
  <r>
    <x v="71"/>
    <x v="69"/>
    <n v="200"/>
    <x v="4"/>
    <x v="23"/>
    <x v="22"/>
    <n v="95"/>
    <x v="3"/>
    <x v="0"/>
    <s v="Low Price"/>
  </r>
  <r>
    <x v="72"/>
    <x v="70"/>
    <n v="1343"/>
    <x v="4"/>
    <x v="23"/>
    <x v="22"/>
    <n v="644"/>
    <x v="3"/>
    <x v="0"/>
    <s v="Low Price"/>
  </r>
  <r>
    <x v="73"/>
    <x v="71"/>
    <n v="2500"/>
    <x v="4"/>
    <x v="23"/>
    <x v="22"/>
    <n v="1200"/>
    <x v="3"/>
    <x v="0"/>
    <s v="Medium Price"/>
  </r>
  <r>
    <x v="74"/>
    <x v="72"/>
    <n v="320"/>
    <x v="5"/>
    <x v="23"/>
    <x v="22"/>
    <n v="151"/>
    <x v="3"/>
    <x v="0"/>
    <s v="Low Price"/>
  </r>
  <r>
    <x v="75"/>
    <x v="73"/>
    <n v="1485"/>
    <x v="5"/>
    <x v="23"/>
    <x v="22"/>
    <n v="695"/>
    <x v="3"/>
    <x v="0"/>
    <s v="Low Price"/>
  </r>
  <r>
    <x v="76"/>
    <x v="74"/>
    <n v="1699"/>
    <x v="5"/>
    <x v="23"/>
    <x v="22"/>
    <n v="800"/>
    <x v="3"/>
    <x v="0"/>
    <s v="Low Price"/>
  </r>
  <r>
    <x v="77"/>
    <x v="75"/>
    <n v="4080"/>
    <x v="6"/>
    <x v="23"/>
    <x v="22"/>
    <n v="1880"/>
    <x v="3"/>
    <x v="0"/>
    <s v="High Price"/>
  </r>
  <r>
    <x v="58"/>
    <x v="76"/>
    <n v="900"/>
    <x v="7"/>
    <x v="23"/>
    <x v="22"/>
    <n v="401"/>
    <x v="3"/>
    <x v="0"/>
    <s v="Low Price"/>
  </r>
  <r>
    <x v="78"/>
    <x v="77"/>
    <n v="1100"/>
    <x v="8"/>
    <x v="23"/>
    <x v="22"/>
    <n v="470"/>
    <x v="3"/>
    <x v="0"/>
    <s v="Low Price"/>
  </r>
  <r>
    <x v="79"/>
    <x v="78"/>
    <n v="1200"/>
    <x v="8"/>
    <x v="23"/>
    <x v="22"/>
    <n v="510"/>
    <x v="3"/>
    <x v="0"/>
    <s v="Low Price"/>
  </r>
  <r>
    <x v="80"/>
    <x v="79"/>
    <n v="1060"/>
    <x v="23"/>
    <x v="23"/>
    <x v="22"/>
    <n v="450"/>
    <x v="3"/>
    <x v="0"/>
    <s v="Low Price"/>
  </r>
  <r>
    <x v="81"/>
    <x v="80"/>
    <n v="1874"/>
    <x v="23"/>
    <x v="23"/>
    <x v="22"/>
    <n v="794"/>
    <x v="3"/>
    <x v="0"/>
    <s v="Medium Price"/>
  </r>
  <r>
    <x v="82"/>
    <x v="81"/>
    <n v="3220"/>
    <x v="23"/>
    <x v="23"/>
    <x v="22"/>
    <n v="1360"/>
    <x v="3"/>
    <x v="0"/>
    <s v="Medium Price"/>
  </r>
  <r>
    <x v="83"/>
    <x v="19"/>
    <n v="1343"/>
    <x v="9"/>
    <x v="23"/>
    <x v="22"/>
    <n v="544"/>
    <x v="3"/>
    <x v="0"/>
    <s v="Low Price"/>
  </r>
  <r>
    <x v="84"/>
    <x v="82"/>
    <n v="2420"/>
    <x v="9"/>
    <x v="23"/>
    <x v="22"/>
    <n v="1000"/>
    <x v="3"/>
    <x v="0"/>
    <s v="Medium Price"/>
  </r>
  <r>
    <x v="85"/>
    <x v="60"/>
    <n v="1950"/>
    <x v="25"/>
    <x v="23"/>
    <x v="22"/>
    <n v="750"/>
    <x v="3"/>
    <x v="1"/>
    <s v="Medium Price"/>
  </r>
  <r>
    <x v="86"/>
    <x v="83"/>
    <n v="4471"/>
    <x v="25"/>
    <x v="23"/>
    <x v="22"/>
    <n v="1721"/>
    <x v="3"/>
    <x v="1"/>
    <s v="High Price"/>
  </r>
  <r>
    <x v="87"/>
    <x v="84"/>
    <n v="2290"/>
    <x v="38"/>
    <x v="23"/>
    <x v="22"/>
    <n v="830"/>
    <x v="3"/>
    <x v="1"/>
    <s v="Medium Price"/>
  </r>
  <r>
    <x v="88"/>
    <x v="85"/>
    <n v="1737"/>
    <x v="26"/>
    <x v="23"/>
    <x v="22"/>
    <n v="587"/>
    <x v="3"/>
    <x v="1"/>
    <s v="Medium Price"/>
  </r>
  <r>
    <x v="89"/>
    <x v="86"/>
    <n v="1810"/>
    <x v="26"/>
    <x v="23"/>
    <x v="22"/>
    <n v="620"/>
    <x v="3"/>
    <x v="1"/>
    <s v="Medium Price"/>
  </r>
  <r>
    <x v="90"/>
    <x v="86"/>
    <n v="1785"/>
    <x v="13"/>
    <x v="23"/>
    <x v="22"/>
    <n v="595"/>
    <x v="3"/>
    <x v="1"/>
    <s v="Medium Price"/>
  </r>
  <r>
    <x v="91"/>
    <x v="87"/>
    <n v="3810"/>
    <x v="27"/>
    <x v="23"/>
    <x v="22"/>
    <n v="1011"/>
    <x v="3"/>
    <x v="1"/>
    <s v="High Price"/>
  </r>
  <r>
    <x v="92"/>
    <x v="88"/>
    <n v="260"/>
    <x v="30"/>
    <x v="23"/>
    <x v="22"/>
    <n v="62"/>
    <x v="3"/>
    <x v="1"/>
    <s v="Low Price"/>
  </r>
  <r>
    <x v="93"/>
    <x v="57"/>
    <n v="384"/>
    <x v="34"/>
    <x v="23"/>
    <x v="22"/>
    <n v="85"/>
    <x v="3"/>
    <x v="1"/>
    <s v="Low Price"/>
  </r>
  <r>
    <x v="94"/>
    <x v="89"/>
    <n v="1699"/>
    <x v="39"/>
    <x v="23"/>
    <x v="22"/>
    <n v="233"/>
    <x v="3"/>
    <x v="2"/>
    <s v="Medium Price"/>
  </r>
  <r>
    <x v="95"/>
    <x v="90"/>
    <n v="1699"/>
    <x v="39"/>
    <x v="23"/>
    <x v="22"/>
    <n v="231"/>
    <x v="3"/>
    <x v="2"/>
    <s v="Medium Price"/>
  </r>
  <r>
    <x v="96"/>
    <x v="19"/>
    <n v="900"/>
    <x v="40"/>
    <x v="23"/>
    <x v="22"/>
    <n v="101"/>
    <x v="3"/>
    <x v="2"/>
    <s v="Low Price"/>
  </r>
  <r>
    <x v="97"/>
    <x v="91"/>
    <n v="1660"/>
    <x v="41"/>
    <x v="23"/>
    <x v="22"/>
    <n v="134"/>
    <x v="3"/>
    <x v="2"/>
    <s v="Medium Price"/>
  </r>
  <r>
    <x v="98"/>
    <x v="92"/>
    <n v="1799"/>
    <x v="42"/>
    <x v="23"/>
    <x v="22"/>
    <n v="67"/>
    <x v="3"/>
    <x v="2"/>
    <s v="Medium Price"/>
  </r>
  <r>
    <x v="99"/>
    <x v="93"/>
    <n v="3699"/>
    <x v="42"/>
    <x v="23"/>
    <x v="22"/>
    <n v="153"/>
    <x v="3"/>
    <x v="2"/>
    <s v="High Price"/>
  </r>
  <r>
    <x v="100"/>
    <x v="94"/>
    <n v="1499"/>
    <x v="43"/>
    <x v="23"/>
    <x v="22"/>
    <n v="40"/>
    <x v="3"/>
    <x v="2"/>
    <s v="Medium Price"/>
  </r>
  <r>
    <x v="101"/>
    <x v="95"/>
    <n v="1499"/>
    <x v="44"/>
    <x v="23"/>
    <x v="22"/>
    <n v="37"/>
    <x v="3"/>
    <x v="2"/>
    <s v="Medium Price"/>
  </r>
  <r>
    <x v="102"/>
    <x v="96"/>
    <n v="1699"/>
    <x v="44"/>
    <x v="23"/>
    <x v="22"/>
    <n v="41"/>
    <x v="3"/>
    <x v="2"/>
    <s v="Medium Price"/>
  </r>
  <r>
    <x v="103"/>
    <x v="97"/>
    <n v="1699"/>
    <x v="44"/>
    <x v="23"/>
    <x v="22"/>
    <n v="39"/>
    <x v="3"/>
    <x v="2"/>
    <s v="Medium Price"/>
  </r>
  <r>
    <x v="104"/>
    <x v="98"/>
    <n v="1699"/>
    <x v="44"/>
    <x v="23"/>
    <x v="22"/>
    <n v="33"/>
    <x v="3"/>
    <x v="2"/>
    <s v="Medium Price"/>
  </r>
  <r>
    <x v="105"/>
    <x v="99"/>
    <n v="1799"/>
    <x v="44"/>
    <x v="23"/>
    <x v="22"/>
    <n v="31"/>
    <x v="3"/>
    <x v="2"/>
    <s v="Medium Price"/>
  </r>
  <r>
    <x v="106"/>
    <x v="100"/>
    <n v="2169"/>
    <x v="44"/>
    <x v="23"/>
    <x v="22"/>
    <n v="37"/>
    <x v="3"/>
    <x v="2"/>
    <s v="High Price"/>
  </r>
  <r>
    <x v="107"/>
    <x v="101"/>
    <n v="1899"/>
    <x v="45"/>
    <x v="23"/>
    <x v="22"/>
    <n v="24"/>
    <x v="3"/>
    <x v="2"/>
    <s v="Medium Price"/>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7">
  <r>
    <s v="Bedroom Simple Floor Hanging Clothes Rack Single Pole Hat Rack - White"/>
    <n v="979"/>
    <n v="1920"/>
    <x v="0"/>
    <x v="0"/>
    <x v="0"/>
    <n v="941"/>
    <x v="0"/>
    <x v="0"/>
    <x v="0"/>
    <m/>
    <m/>
  </r>
  <r>
    <s v="DIY File Folder, Office Drawer File Holder, Pen Holder, Desktop Storage Rack"/>
    <n v="1620"/>
    <n v="2690"/>
    <x v="1"/>
    <x v="0"/>
    <x v="0"/>
    <n v="1070"/>
    <x v="0"/>
    <x v="1"/>
    <x v="1"/>
    <m/>
    <m/>
  </r>
  <r>
    <s v="Konka Healty Electric Kettle, 24-hour Heat Preservation,1.5L,800W, White"/>
    <n v="3640"/>
    <n v="4588"/>
    <x v="2"/>
    <x v="0"/>
    <x v="0"/>
    <n v="948"/>
    <x v="0"/>
    <x v="1"/>
    <x v="2"/>
    <m/>
    <m/>
  </r>
  <r>
    <s v="Classic Black Cat Cotton Hemp Pillow Case For Home Car"/>
    <n v="171"/>
    <n v="360"/>
    <x v="3"/>
    <x v="1"/>
    <x v="0"/>
    <n v="189"/>
    <x v="0"/>
    <x v="0"/>
    <x v="0"/>
    <m/>
    <m/>
  </r>
  <r>
    <s v="Anti-Skid Absorbent Insulation Coaster  For Home Office"/>
    <n v="332"/>
    <n v="684"/>
    <x v="4"/>
    <x v="1"/>
    <x v="0"/>
    <n v="352"/>
    <x v="0"/>
    <x v="0"/>
    <x v="0"/>
    <m/>
    <m/>
  </r>
  <r>
    <s v="Peacock  Throw Pillow Cushion Case For Home Car"/>
    <n v="195"/>
    <n v="360"/>
    <x v="5"/>
    <x v="1"/>
    <x v="0"/>
    <n v="165"/>
    <x v="0"/>
    <x v="0"/>
    <x v="0"/>
    <m/>
    <m/>
  </r>
  <r>
    <s v="LASA Aluminum Folding Truck Hand Cart - 68kg Max"/>
    <n v="2025"/>
    <n v="3971"/>
    <x v="0"/>
    <x v="2"/>
    <x v="0"/>
    <n v="1946"/>
    <x v="0"/>
    <x v="0"/>
    <x v="2"/>
    <m/>
    <m/>
  </r>
  <r>
    <s v="LASA FOLDING TABLE SERVING STAND"/>
    <n v="1274"/>
    <n v="2800"/>
    <x v="6"/>
    <x v="3"/>
    <x v="1"/>
    <n v="1526"/>
    <x v="0"/>
    <x v="0"/>
    <x v="1"/>
    <m/>
    <m/>
  </r>
  <r>
    <s v="Portable Home Small Air Humidifier 3-Speed Fan - Green"/>
    <n v="1740"/>
    <n v="2356"/>
    <x v="7"/>
    <x v="3"/>
    <x v="1"/>
    <n v="616"/>
    <x v="0"/>
    <x v="1"/>
    <x v="1"/>
    <m/>
    <m/>
  </r>
  <r>
    <s v="40cm Gold DIY Acrylic Wall Sticker Clock"/>
    <n v="552"/>
    <n v="1035"/>
    <x v="8"/>
    <x v="4"/>
    <x v="1"/>
    <n v="483"/>
    <x v="0"/>
    <x v="0"/>
    <x v="0"/>
    <m/>
    <m/>
  </r>
  <r>
    <s v="Weighing Scale Digital Bathroom Body Fat Scale USB-Black"/>
    <n v="1580"/>
    <n v="2499"/>
    <x v="9"/>
    <x v="5"/>
    <x v="2"/>
    <n v="919"/>
    <x v="0"/>
    <x v="1"/>
    <x v="1"/>
    <m/>
    <m/>
  </r>
  <r>
    <s v="12 Litre Insulated Lunch Box Grey"/>
    <n v="980"/>
    <n v="1490"/>
    <x v="10"/>
    <x v="4"/>
    <x v="2"/>
    <n v="510"/>
    <x v="0"/>
    <x v="1"/>
    <x v="0"/>
    <m/>
    <m/>
  </r>
  <r>
    <s v="53Pcs/Set Yarn Knitting Crochet Hooks With Bag - Fortune Cat"/>
    <n v="1940"/>
    <n v="2650"/>
    <x v="11"/>
    <x v="6"/>
    <x v="2"/>
    <n v="710"/>
    <x v="0"/>
    <x v="1"/>
    <x v="1"/>
    <m/>
    <m/>
  </r>
  <r>
    <s v="100 Pcs Crochet Hook Tool Set Knitting Hook Set With Box"/>
    <n v="990"/>
    <n v="1500"/>
    <x v="10"/>
    <x v="7"/>
    <x v="2"/>
    <n v="510"/>
    <x v="0"/>
    <x v="1"/>
    <x v="0"/>
    <m/>
    <m/>
  </r>
  <r>
    <s v="LED Wall Digital Alarm Clock Study Home 12 / 24H Clock Calendar"/>
    <n v="2999"/>
    <n v="3699"/>
    <x v="12"/>
    <x v="3"/>
    <x v="3"/>
    <n v="700"/>
    <x v="0"/>
    <x v="2"/>
    <x v="2"/>
    <m/>
    <m/>
  </r>
  <r>
    <s v="Portable Mini Cordless Car Vacuum Cleaner - Blue"/>
    <n v="2199"/>
    <n v="2923"/>
    <x v="13"/>
    <x v="8"/>
    <x v="3"/>
    <n v="724"/>
    <x v="0"/>
    <x v="1"/>
    <x v="2"/>
    <m/>
    <m/>
  </r>
  <r>
    <s v="3D Waterproof EVA Plastic Shower Curtain 1.8*2Mtrs"/>
    <n v="998"/>
    <n v="1966"/>
    <x v="0"/>
    <x v="9"/>
    <x v="3"/>
    <n v="968"/>
    <x v="0"/>
    <x v="0"/>
    <x v="0"/>
    <m/>
    <m/>
  </r>
  <r>
    <s v="Electronic Digital Display Vernier Caliper"/>
    <n v="420"/>
    <n v="647"/>
    <x v="14"/>
    <x v="10"/>
    <x v="3"/>
    <n v="227"/>
    <x v="0"/>
    <x v="1"/>
    <x v="0"/>
    <m/>
    <m/>
  </r>
  <r>
    <s v="137 Pieces Cake Decorating Tool Set Baking Supplies"/>
    <n v="2319"/>
    <n v="3032"/>
    <x v="15"/>
    <x v="11"/>
    <x v="3"/>
    <n v="713"/>
    <x v="0"/>
    <x v="1"/>
    <x v="2"/>
    <m/>
    <m/>
  </r>
  <r>
    <s v="115  Piece Set Of Multifunctional Precision Screwdrivers"/>
    <n v="950"/>
    <n v="1525"/>
    <x v="16"/>
    <x v="1"/>
    <x v="4"/>
    <n v="575"/>
    <x v="0"/>
    <x v="1"/>
    <x v="0"/>
    <m/>
    <m/>
  </r>
  <r>
    <s v="LASA Digital Thermometer And Hydrometer"/>
    <n v="501"/>
    <n v="860"/>
    <x v="17"/>
    <x v="12"/>
    <x v="4"/>
    <n v="359"/>
    <x v="0"/>
    <x v="0"/>
    <x v="0"/>
    <m/>
    <m/>
  </r>
  <r>
    <s v="53 Pieces/Set Yarn Knitting Crochet Hooks With Bag - Pansies"/>
    <n v="1980"/>
    <n v="2699"/>
    <x v="11"/>
    <x v="13"/>
    <x v="4"/>
    <n v="719"/>
    <x v="0"/>
    <x v="1"/>
    <x v="1"/>
    <m/>
    <m/>
  </r>
  <r>
    <s v="Foldable Overbed Table/Desk"/>
    <n v="1650"/>
    <n v="2150"/>
    <x v="18"/>
    <x v="14"/>
    <x v="5"/>
    <n v="500"/>
    <x v="1"/>
    <x v="1"/>
    <x v="1"/>
    <m/>
    <m/>
  </r>
  <r>
    <s v="LASA 3 Tier Bamboo Shoe Bench Storage Shelf"/>
    <n v="2048"/>
    <n v="4500"/>
    <x v="19"/>
    <x v="5"/>
    <x v="6"/>
    <n v="2452"/>
    <x v="1"/>
    <x v="0"/>
    <x v="2"/>
    <m/>
    <m/>
  </r>
  <r>
    <s v="Exfoliate And Exfoliate Face Towel - Black"/>
    <n v="185"/>
    <n v="382"/>
    <x v="20"/>
    <x v="15"/>
    <x v="6"/>
    <n v="197"/>
    <x v="1"/>
    <x v="0"/>
    <x v="0"/>
    <m/>
    <m/>
  </r>
  <r>
    <s v="LED Eye Protection  Desk Lamp , Study, Reading, USB Fan - Double Pen Holder"/>
    <n v="1820"/>
    <n v="3490"/>
    <x v="21"/>
    <x v="15"/>
    <x v="6"/>
    <n v="1670"/>
    <x v="1"/>
    <x v="0"/>
    <x v="1"/>
    <m/>
    <m/>
  </r>
  <r>
    <s v="Punch-free Great Load Bearing Bathroom Storage Rack Wall Shelf-White"/>
    <n v="389"/>
    <n v="656"/>
    <x v="22"/>
    <x v="16"/>
    <x v="6"/>
    <n v="267"/>
    <x v="1"/>
    <x v="0"/>
    <x v="0"/>
    <m/>
    <m/>
  </r>
  <r>
    <s v="Multifunction Laser Level With Adjustment Tripod"/>
    <n v="1680"/>
    <n v="2499"/>
    <x v="23"/>
    <x v="15"/>
    <x v="7"/>
    <n v="819"/>
    <x v="1"/>
    <x v="1"/>
    <x v="1"/>
    <m/>
    <m/>
  </r>
  <r>
    <s v="Genebre 115 In 1 Screwdriver Repairing Tool Set For IPhone Cellphone Hand Tool"/>
    <n v="799"/>
    <n v="999"/>
    <x v="24"/>
    <x v="4"/>
    <x v="8"/>
    <n v="200"/>
    <x v="1"/>
    <x v="1"/>
    <x v="0"/>
    <m/>
    <m/>
  </r>
  <r>
    <s v="Metal Decorative Hooks Key Hangers Entryway Wall Hooks Towel Hooks - Home"/>
    <n v="527"/>
    <n v="999"/>
    <x v="8"/>
    <x v="14"/>
    <x v="8"/>
    <n v="472"/>
    <x v="1"/>
    <x v="0"/>
    <x v="0"/>
    <m/>
    <m/>
  </r>
  <r>
    <s v="52 Pieces Cake Decorating Tool Set Gift Kit Baking Supplies"/>
    <n v="1758"/>
    <n v="2499"/>
    <x v="25"/>
    <x v="6"/>
    <x v="8"/>
    <n v="741"/>
    <x v="1"/>
    <x v="1"/>
    <x v="1"/>
    <m/>
    <m/>
  </r>
  <r>
    <s v="Household Pineapple Peeler Peeler"/>
    <n v="330"/>
    <n v="647"/>
    <x v="0"/>
    <x v="0"/>
    <x v="9"/>
    <n v="317"/>
    <x v="1"/>
    <x v="0"/>
    <x v="0"/>
    <m/>
    <m/>
  </r>
  <r>
    <s v="Desk Foldable Fan Adjustable Fan Strong Wind 3 Gear Usb"/>
    <n v="988"/>
    <n v="1580"/>
    <x v="9"/>
    <x v="1"/>
    <x v="9"/>
    <n v="592"/>
    <x v="1"/>
    <x v="1"/>
    <x v="0"/>
    <m/>
    <m/>
  </r>
  <r>
    <s v="LED Romantic Spaceship Starry Sky Projector,Children's Bedroom Night Light-Blue"/>
    <n v="880"/>
    <n v="1350"/>
    <x v="14"/>
    <x v="12"/>
    <x v="9"/>
    <n v="470"/>
    <x v="1"/>
    <x v="1"/>
    <x v="0"/>
    <m/>
    <m/>
  </r>
  <r>
    <s v="220V 60W Electric Soldering Iron Kits With Tools, Tips, And Multimeter"/>
    <n v="2999"/>
    <n v="3290"/>
    <x v="26"/>
    <x v="17"/>
    <x v="9"/>
    <n v="291"/>
    <x v="1"/>
    <x v="2"/>
    <x v="2"/>
    <m/>
    <m/>
  </r>
  <r>
    <s v="13 In 1 Home Repair Tools Box Kit Set"/>
    <n v="1600"/>
    <n v="2929"/>
    <x v="27"/>
    <x v="3"/>
    <x v="10"/>
    <n v="1329"/>
    <x v="1"/>
    <x v="0"/>
    <x v="1"/>
    <m/>
    <m/>
  </r>
  <r>
    <s v="Portable Wardrobe Nonwoven With 3 Hanging Rods And 6 Storage Shelves"/>
    <n v="2880"/>
    <n v="3520"/>
    <x v="28"/>
    <x v="4"/>
    <x v="10"/>
    <n v="640"/>
    <x v="1"/>
    <x v="2"/>
    <x v="2"/>
    <m/>
    <m/>
  </r>
  <r>
    <s v="12 Litre Black Insulated Lunch Box"/>
    <n v="1350"/>
    <n v="1990"/>
    <x v="29"/>
    <x v="18"/>
    <x v="10"/>
    <n v="640"/>
    <x v="1"/>
    <x v="1"/>
    <x v="1"/>
    <m/>
    <m/>
  </r>
  <r>
    <s v="3PCS Single Head Knitting Crochet Sweater Needle Set"/>
    <n v="38"/>
    <n v="80"/>
    <x v="3"/>
    <x v="18"/>
    <x v="11"/>
    <n v="42"/>
    <x v="1"/>
    <x v="0"/>
    <x v="0"/>
    <m/>
    <m/>
  </r>
  <r>
    <s v="Memory Foam Neck Pillow Cover, With Pillow Core - 50*30cm"/>
    <n v="1189"/>
    <n v="2199"/>
    <x v="5"/>
    <x v="0"/>
    <x v="12"/>
    <n v="1010"/>
    <x v="1"/>
    <x v="0"/>
    <x v="1"/>
    <m/>
    <m/>
  </r>
  <r>
    <s v="Wrought Iron Bathroom Shelf Wall Mounted Free Punch Toilet Rack"/>
    <n v="509"/>
    <n v="899"/>
    <x v="30"/>
    <x v="3"/>
    <x v="12"/>
    <n v="390"/>
    <x v="1"/>
    <x v="0"/>
    <x v="0"/>
    <m/>
    <m/>
  </r>
  <r>
    <s v="32PCS Portable Cordless Drill Set With Cyclic Battery Drive -26 Variable Speed"/>
    <n v="3750"/>
    <n v="6143"/>
    <x v="31"/>
    <x v="3"/>
    <x v="12"/>
    <n v="2393"/>
    <x v="1"/>
    <x v="1"/>
    <x v="2"/>
    <m/>
    <m/>
  </r>
  <r>
    <s v="Large Lazy Inflatable Sofa Chairs PVC Lounger Seat Bag"/>
    <n v="2300"/>
    <n v="3240"/>
    <x v="32"/>
    <x v="3"/>
    <x v="12"/>
    <n v="940"/>
    <x v="1"/>
    <x v="1"/>
    <x v="2"/>
    <m/>
    <m/>
  </r>
  <r>
    <s v="Mythco 120COB Solar Wall Ligt With Motion Sensor And Remote Control 3 Modes"/>
    <n v="458"/>
    <n v="986"/>
    <x v="19"/>
    <x v="19"/>
    <x v="12"/>
    <n v="528"/>
    <x v="1"/>
    <x v="0"/>
    <x v="0"/>
    <m/>
    <m/>
  </r>
  <r>
    <s v="VIC Wireless Vacuum Cleaner Dual Use For Home And Car 120W High Power Powerful"/>
    <n v="1220"/>
    <n v="1555"/>
    <x v="33"/>
    <x v="20"/>
    <x v="13"/>
    <n v="335"/>
    <x v="2"/>
    <x v="1"/>
    <x v="1"/>
    <m/>
    <m/>
  </r>
  <r>
    <s v="120W Cordless Vacuum Cleaners Handheld Electric Vacuum Cleaner"/>
    <n v="445"/>
    <n v="873"/>
    <x v="0"/>
    <x v="21"/>
    <x v="14"/>
    <n v="428"/>
    <x v="2"/>
    <x v="0"/>
    <x v="0"/>
    <m/>
    <m/>
  </r>
  <r>
    <s v="Intelligent  LED Body Sensor Wireless Lighting Night Light USB"/>
    <n v="325"/>
    <n v="680"/>
    <x v="20"/>
    <x v="17"/>
    <x v="15"/>
    <n v="355"/>
    <x v="2"/>
    <x v="0"/>
    <x v="0"/>
    <m/>
    <m/>
  </r>
  <r>
    <s v="Agapeon Toothbrush Holder And Toothpaste Dispenser"/>
    <n v="382"/>
    <n v="700"/>
    <x v="27"/>
    <x v="22"/>
    <x v="16"/>
    <n v="318"/>
    <x v="2"/>
    <x v="0"/>
    <x v="0"/>
    <m/>
    <m/>
  </r>
  <r>
    <s v="5 Pieces/set Of Stainless Steel Induction Cooker Pots"/>
    <n v="2170"/>
    <n v="2500"/>
    <x v="34"/>
    <x v="12"/>
    <x v="17"/>
    <n v="330"/>
    <x v="2"/>
    <x v="2"/>
    <x v="2"/>
    <m/>
    <m/>
  </r>
  <r>
    <s v="Watercolour Gold Foil Textured Print Pillow Cover"/>
    <n v="345"/>
    <n v="602"/>
    <x v="30"/>
    <x v="12"/>
    <x v="18"/>
    <n v="257"/>
    <x v="2"/>
    <x v="0"/>
    <x v="0"/>
    <m/>
    <m/>
  </r>
  <r>
    <s v="380ML USB Rechargeable Portable Small Blenders And Juicers"/>
    <n v="1000"/>
    <n v="2000"/>
    <x v="35"/>
    <x v="5"/>
    <x v="18"/>
    <n v="1000"/>
    <x v="2"/>
    <x v="0"/>
    <x v="1"/>
    <m/>
    <m/>
  </r>
  <r>
    <s v="7-piece Set Of Storage Bags, Travel Storage Bags, Shoe Bags"/>
    <n v="968"/>
    <n v="1814"/>
    <x v="8"/>
    <x v="12"/>
    <x v="19"/>
    <n v="846"/>
    <x v="2"/>
    <x v="0"/>
    <x v="0"/>
    <m/>
    <m/>
  </r>
  <r>
    <s v="Artificial Potted Flowers Room Decorative Flowers (2 Pieces)"/>
    <n v="990"/>
    <n v="1814"/>
    <x v="27"/>
    <x v="12"/>
    <x v="19"/>
    <n v="824"/>
    <x v="2"/>
    <x v="0"/>
    <x v="0"/>
    <m/>
    <m/>
  </r>
  <r>
    <s v="Electric LED UV Mosquito Killer Lamp, Outdoor/Indoor Fly Killer Trap Light -USB"/>
    <n v="1570"/>
    <n v="2988"/>
    <x v="8"/>
    <x v="5"/>
    <x v="20"/>
    <n v="1418"/>
    <x v="2"/>
    <x v="0"/>
    <x v="1"/>
    <m/>
    <m/>
  </r>
  <r>
    <s v="5-PCS Stainless Steel Cooking Pot Set With Steamed Slices"/>
    <n v="2115"/>
    <n v="4700"/>
    <x v="6"/>
    <x v="18"/>
    <x v="20"/>
    <n v="2585"/>
    <x v="2"/>
    <x v="0"/>
    <x v="2"/>
    <m/>
    <m/>
  </r>
  <r>
    <s v="Wall-mounted Sticker Punch-free Plug Fixer"/>
    <n v="450"/>
    <n v="900"/>
    <x v="35"/>
    <x v="0"/>
    <x v="21"/>
    <n v="450"/>
    <x v="2"/>
    <x v="0"/>
    <x v="0"/>
    <m/>
    <m/>
  </r>
  <r>
    <s v="6 In 1 Bottle Can Opener Multifunctional Easy Opener"/>
    <n v="199"/>
    <n v="553"/>
    <x v="36"/>
    <x v="23"/>
    <x v="22"/>
    <n v="354"/>
    <x v="3"/>
    <x v="0"/>
    <x v="0"/>
    <m/>
    <m/>
  </r>
  <r>
    <s v="Creative Owl Shape Keychain Black"/>
    <n v="199"/>
    <n v="504"/>
    <x v="37"/>
    <x v="23"/>
    <x v="22"/>
    <n v="305"/>
    <x v="3"/>
    <x v="0"/>
    <x v="0"/>
    <m/>
    <m/>
  </r>
  <r>
    <s v="Simple Metal Dog Art Sculpture Decoration For Home Office"/>
    <n v="399"/>
    <n v="896"/>
    <x v="6"/>
    <x v="23"/>
    <x v="22"/>
    <n v="497"/>
    <x v="3"/>
    <x v="0"/>
    <x v="0"/>
    <m/>
    <m/>
  </r>
  <r>
    <s v="Modern Sofa Throw Pillow Cover-45x45cm-Blue&amp;Red"/>
    <n v="238"/>
    <n v="476"/>
    <x v="35"/>
    <x v="23"/>
    <x v="22"/>
    <n v="238"/>
    <x v="3"/>
    <x v="0"/>
    <x v="0"/>
    <m/>
    <m/>
  </r>
  <r>
    <s v="Brush &amp; Paintbrush Cleaning Tool Pink"/>
    <n v="299"/>
    <n v="600"/>
    <x v="35"/>
    <x v="23"/>
    <x v="22"/>
    <n v="301"/>
    <x v="3"/>
    <x v="0"/>
    <x v="0"/>
    <m/>
    <m/>
  </r>
  <r>
    <s v="Wall Clock With Hidden Safe Box"/>
    <n v="850"/>
    <n v="1700"/>
    <x v="35"/>
    <x v="23"/>
    <x v="22"/>
    <n v="850"/>
    <x v="3"/>
    <x v="0"/>
    <x v="0"/>
    <m/>
    <m/>
  </r>
  <r>
    <s v="Christmas Elk Fence Yard Lawn Decorations Cute For Holidays"/>
    <n v="999"/>
    <n v="2000"/>
    <x v="35"/>
    <x v="23"/>
    <x v="22"/>
    <n v="1001"/>
    <x v="3"/>
    <x v="0"/>
    <x v="0"/>
    <m/>
    <m/>
  </r>
  <r>
    <s v="2PCS Ice Silk Square Cushion Cover Pillowcases - 65x65cm"/>
    <n v="1200"/>
    <n v="2400"/>
    <x v="35"/>
    <x v="23"/>
    <x v="22"/>
    <n v="1200"/>
    <x v="3"/>
    <x v="0"/>
    <x v="1"/>
    <m/>
    <m/>
  </r>
  <r>
    <s v="Creative Owl Shape Keychain Black"/>
    <n v="176"/>
    <n v="345"/>
    <x v="0"/>
    <x v="23"/>
    <x v="22"/>
    <n v="169"/>
    <x v="3"/>
    <x v="0"/>
    <x v="0"/>
    <m/>
    <m/>
  </r>
  <r>
    <s v="7PCS Silicone Thumb Knife Finger Protector Vegetable Harvesting Knife"/>
    <n v="230"/>
    <n v="450"/>
    <x v="0"/>
    <x v="23"/>
    <x v="22"/>
    <n v="220"/>
    <x v="3"/>
    <x v="0"/>
    <x v="0"/>
    <m/>
    <m/>
  </r>
  <r>
    <s v="4 Piece Coloured Stainless Steel Kitchenware Set"/>
    <n v="248"/>
    <n v="486"/>
    <x v="0"/>
    <x v="23"/>
    <x v="22"/>
    <n v="238"/>
    <x v="3"/>
    <x v="0"/>
    <x v="0"/>
    <m/>
    <m/>
  </r>
  <r>
    <s v="Cartoon Car Decoration Cute Individuality For Car Home Desk"/>
    <n v="274"/>
    <n v="537"/>
    <x v="0"/>
    <x v="23"/>
    <x v="22"/>
    <n v="263"/>
    <x v="3"/>
    <x v="0"/>
    <x v="0"/>
    <m/>
    <m/>
  </r>
  <r>
    <s v="4M Float Switch Water Level Controller -Water Tank"/>
    <n v="475"/>
    <n v="931"/>
    <x v="0"/>
    <x v="23"/>
    <x v="22"/>
    <n v="456"/>
    <x v="3"/>
    <x v="0"/>
    <x v="0"/>
    <m/>
    <m/>
  </r>
  <r>
    <s v="Baby Early Education Shape And Color Cognitive Training Toys"/>
    <n v="525"/>
    <n v="1029"/>
    <x v="0"/>
    <x v="23"/>
    <x v="22"/>
    <n v="504"/>
    <x v="3"/>
    <x v="0"/>
    <x v="0"/>
    <m/>
    <m/>
  </r>
  <r>
    <s v="Angle Measuring Tool Full Metal Multi Angle Measuring Tool"/>
    <n v="657"/>
    <n v="1288"/>
    <x v="0"/>
    <x v="23"/>
    <x v="22"/>
    <n v="631"/>
    <x v="3"/>
    <x v="0"/>
    <x v="0"/>
    <m/>
    <m/>
  </r>
  <r>
    <s v="Car Phone Charging Stand"/>
    <n v="671"/>
    <n v="1316"/>
    <x v="0"/>
    <x v="23"/>
    <x v="22"/>
    <n v="645"/>
    <x v="3"/>
    <x v="0"/>
    <x v="0"/>
    <m/>
    <m/>
  </r>
  <r>
    <s v="Angle Measuring Tool Full Metal Multi Angle Measuring Tool"/>
    <n v="799"/>
    <n v="1567"/>
    <x v="0"/>
    <x v="23"/>
    <x v="22"/>
    <n v="768"/>
    <x v="3"/>
    <x v="0"/>
    <x v="0"/>
    <m/>
    <m/>
  </r>
  <r>
    <s v="Sewing Machine Needle Threader Stitch Insertion Tool Automatic Quick Sewing"/>
    <n v="105"/>
    <n v="200"/>
    <x v="21"/>
    <x v="23"/>
    <x v="22"/>
    <n v="95"/>
    <x v="3"/>
    <x v="0"/>
    <x v="0"/>
    <m/>
    <m/>
  </r>
  <r>
    <s v="Christmas Fence Garden Decorations Outdoor For Holiday Home"/>
    <n v="699"/>
    <n v="1343"/>
    <x v="21"/>
    <x v="23"/>
    <x v="22"/>
    <n v="644"/>
    <x v="3"/>
    <x v="0"/>
    <x v="0"/>
    <m/>
    <m/>
  </r>
  <r>
    <s v="Portable Wine Table With Folding Round Table"/>
    <n v="1300"/>
    <n v="2500"/>
    <x v="21"/>
    <x v="23"/>
    <x v="22"/>
    <n v="1200"/>
    <x v="3"/>
    <x v="0"/>
    <x v="1"/>
    <m/>
    <m/>
  </r>
  <r>
    <s v="Black Simple Water Cup Wine Coaster Anti Slip Absorbent"/>
    <n v="169"/>
    <n v="320"/>
    <x v="8"/>
    <x v="23"/>
    <x v="22"/>
    <n v="151"/>
    <x v="3"/>
    <x v="0"/>
    <x v="0"/>
    <m/>
    <m/>
  </r>
  <r>
    <s v="2PCS/LOT Solar LED Outdoor Intelligent Light Controlled Wall Lamp"/>
    <n v="790"/>
    <n v="1485"/>
    <x v="8"/>
    <x v="23"/>
    <x v="22"/>
    <n v="695"/>
    <x v="3"/>
    <x v="0"/>
    <x v="0"/>
    <m/>
    <m/>
  </r>
  <r>
    <s v="6 Layers Steel Pipe Assembling Dustproof Storage Shoe Cabinet"/>
    <n v="899"/>
    <n v="1699"/>
    <x v="8"/>
    <x v="23"/>
    <x v="22"/>
    <n v="800"/>
    <x v="3"/>
    <x v="0"/>
    <x v="0"/>
    <m/>
    <m/>
  </r>
  <r>
    <s v="MultiFunctional Storage Rack Multi-layer Bookshelf"/>
    <n v="2200"/>
    <n v="4080"/>
    <x v="5"/>
    <x v="23"/>
    <x v="22"/>
    <n v="1880"/>
    <x v="3"/>
    <x v="0"/>
    <x v="2"/>
    <m/>
    <m/>
  </r>
  <r>
    <s v="Simple Metal Dog Art Sculpture Decoration For Home Office"/>
    <n v="499"/>
    <n v="900"/>
    <x v="27"/>
    <x v="23"/>
    <x v="22"/>
    <n v="401"/>
    <x v="3"/>
    <x v="0"/>
    <x v="0"/>
    <m/>
    <m/>
  </r>
  <r>
    <s v="Multifunctional Hanging Storage Box Storage Bag (4 Layers)"/>
    <n v="630"/>
    <n v="1100"/>
    <x v="30"/>
    <x v="23"/>
    <x v="22"/>
    <n v="470"/>
    <x v="3"/>
    <x v="0"/>
    <x v="0"/>
    <m/>
    <m/>
  </r>
  <r>
    <s v="3PCS Rotary Scraper Thermomix For Kitchen"/>
    <n v="690"/>
    <n v="1200"/>
    <x v="30"/>
    <x v="23"/>
    <x v="22"/>
    <n v="510"/>
    <x v="3"/>
    <x v="0"/>
    <x v="0"/>
    <m/>
    <m/>
  </r>
  <r>
    <s v="Balloon Insert, Birthday Party Balloon Set, PU Leather"/>
    <n v="610"/>
    <n v="1060"/>
    <x v="17"/>
    <x v="23"/>
    <x v="22"/>
    <n v="450"/>
    <x v="3"/>
    <x v="0"/>
    <x v="0"/>
    <m/>
    <m/>
  </r>
  <r>
    <s v="8in1 Screwdriver With LED Light"/>
    <n v="1080"/>
    <n v="1874"/>
    <x v="17"/>
    <x v="23"/>
    <x v="22"/>
    <n v="794"/>
    <x v="3"/>
    <x v="0"/>
    <x v="1"/>
    <m/>
    <m/>
  </r>
  <r>
    <s v="4pcs Bathroom/Kitchen Towel Rack,Roll Paper Holder,Towel Bars,Hook"/>
    <n v="1860"/>
    <n v="3220"/>
    <x v="17"/>
    <x v="23"/>
    <x v="22"/>
    <n v="1360"/>
    <x v="3"/>
    <x v="0"/>
    <x v="1"/>
    <m/>
    <m/>
  </r>
  <r>
    <s v="Cute Christmas Fence Garden Decorations For Holiday Home"/>
    <n v="799"/>
    <n v="1343"/>
    <x v="22"/>
    <x v="23"/>
    <x v="22"/>
    <n v="544"/>
    <x v="3"/>
    <x v="0"/>
    <x v="0"/>
    <m/>
    <m/>
  </r>
  <r>
    <s v="9pcs Gas Mask, For Painting, Dust, Formaldehyde Grinding, Polishing"/>
    <n v="1420"/>
    <n v="2420"/>
    <x v="22"/>
    <x v="23"/>
    <x v="22"/>
    <n v="1000"/>
    <x v="3"/>
    <x v="0"/>
    <x v="1"/>
    <m/>
    <m/>
  </r>
  <r>
    <s v="2pcs Solar Street Light Flood Light Outdoor"/>
    <n v="1200"/>
    <n v="1950"/>
    <x v="16"/>
    <x v="23"/>
    <x v="22"/>
    <n v="750"/>
    <x v="3"/>
    <x v="1"/>
    <x v="1"/>
    <m/>
    <m/>
  </r>
  <r>
    <s v="LASA Stainless Steel Double Wall Mount Soap Dispenser - 500ml"/>
    <n v="2750"/>
    <n v="4471"/>
    <x v="16"/>
    <x v="23"/>
    <x v="22"/>
    <n v="1721"/>
    <x v="3"/>
    <x v="1"/>
    <x v="2"/>
    <m/>
    <m/>
  </r>
  <r>
    <s v="5m Waterproof Spherical LED String Lights Outdoor Ball Chain Lights Party Lighting Decoration Adjustable"/>
    <n v="1460"/>
    <n v="2290"/>
    <x v="38"/>
    <x v="23"/>
    <x v="22"/>
    <n v="830"/>
    <x v="3"/>
    <x v="1"/>
    <x v="1"/>
    <m/>
    <m/>
  </r>
  <r>
    <s v="LED Solar Street Light-fake Camera"/>
    <n v="1150"/>
    <n v="1737"/>
    <x v="10"/>
    <x v="23"/>
    <x v="22"/>
    <n v="587"/>
    <x v="3"/>
    <x v="1"/>
    <x v="1"/>
    <m/>
    <m/>
  </r>
  <r>
    <s v="Cartoon Embroidered Mini Towel Bear Cotton Wash Cloth Hand 4pcs"/>
    <n v="1190"/>
    <n v="1810"/>
    <x v="10"/>
    <x v="23"/>
    <x v="22"/>
    <n v="620"/>
    <x v="3"/>
    <x v="1"/>
    <x v="1"/>
    <m/>
    <m/>
  </r>
  <r>
    <s v="60W Hot Melt Glue Sprayer - Efficient And Stable Glue Dispensing"/>
    <n v="1190"/>
    <n v="1785"/>
    <x v="23"/>
    <x v="23"/>
    <x v="22"/>
    <n v="595"/>
    <x v="3"/>
    <x v="1"/>
    <x v="1"/>
    <m/>
    <m/>
  </r>
  <r>
    <s v="12V 19500rpm Handheld Electric Angle Grinder Tool - UK - Yellow/Black"/>
    <n v="2799"/>
    <n v="3810"/>
    <x v="11"/>
    <x v="23"/>
    <x v="22"/>
    <n v="1011"/>
    <x v="3"/>
    <x v="1"/>
    <x v="2"/>
    <m/>
    <m/>
  </r>
  <r>
    <s v="1PC Refrigerator Food Seal Pocket Fridge Bags"/>
    <n v="198"/>
    <n v="260"/>
    <x v="15"/>
    <x v="23"/>
    <x v="22"/>
    <n v="62"/>
    <x v="3"/>
    <x v="1"/>
    <x v="0"/>
    <m/>
    <m/>
  </r>
  <r>
    <s v="Pilates Cloth Bag Waterproof Durable High Capacity Purple"/>
    <n v="299"/>
    <n v="384"/>
    <x v="33"/>
    <x v="23"/>
    <x v="22"/>
    <n v="85"/>
    <x v="3"/>
    <x v="1"/>
    <x v="0"/>
    <m/>
    <m/>
  </r>
  <r>
    <s v="Office Chair Lumbar Back Support Spine Posture Correction Pillow Car Cushion"/>
    <n v="1466"/>
    <n v="1699"/>
    <x v="39"/>
    <x v="23"/>
    <x v="22"/>
    <n v="233"/>
    <x v="3"/>
    <x v="2"/>
    <x v="1"/>
    <m/>
    <m/>
  </r>
  <r>
    <s v="Wall-Mounted Toothbrush Toothpaste Holder With Multiple Slots"/>
    <n v="1468"/>
    <n v="1699"/>
    <x v="39"/>
    <x v="23"/>
    <x v="22"/>
    <n v="231"/>
    <x v="3"/>
    <x v="2"/>
    <x v="1"/>
    <m/>
    <m/>
  </r>
  <r>
    <s v="Outdoor Portable Water Bottle With Medicine Box - 600ML - Black"/>
    <n v="799"/>
    <n v="900"/>
    <x v="40"/>
    <x v="23"/>
    <x v="22"/>
    <n v="101"/>
    <x v="3"/>
    <x v="2"/>
    <x v="0"/>
    <m/>
    <m/>
  </r>
  <r>
    <s v="Wall Mount Automatic Toothpaste Dispenser Toothbrush Holder Toothpaste Squeezer"/>
    <n v="1526"/>
    <n v="1660"/>
    <x v="41"/>
    <x v="23"/>
    <x v="22"/>
    <n v="134"/>
    <x v="3"/>
    <x v="2"/>
    <x v="1"/>
    <m/>
    <m/>
  </r>
  <r>
    <s v="Cushion Silicone Butt Cushion Summer Ice Cushion Honeycomb Gel Cushion"/>
    <n v="1732"/>
    <n v="1799"/>
    <x v="42"/>
    <x v="23"/>
    <x v="22"/>
    <n v="67"/>
    <x v="3"/>
    <x v="2"/>
    <x v="1"/>
    <m/>
    <m/>
  </r>
  <r>
    <s v="Metal Wall Clock Silver Dial Crystal Jewelry Round Home Decoration Wall Clock"/>
    <n v="3546"/>
    <n v="3699"/>
    <x v="42"/>
    <x v="23"/>
    <x v="22"/>
    <n v="153"/>
    <x v="3"/>
    <x v="2"/>
    <x v="2"/>
    <m/>
    <m/>
  </r>
  <r>
    <s v="Multi-purpose Rice Drainage Basket And Fruit And Vegetable Drainage Sieve"/>
    <n v="1459"/>
    <n v="1499"/>
    <x v="43"/>
    <x v="23"/>
    <x v="22"/>
    <n v="40"/>
    <x v="3"/>
    <x v="2"/>
    <x v="1"/>
    <m/>
    <m/>
  </r>
  <r>
    <s v="Portable Soap Dispenser Kitchen Detergent Press Box Kitchen Tools"/>
    <n v="1462"/>
    <n v="1499"/>
    <x v="44"/>
    <x v="23"/>
    <x v="22"/>
    <n v="37"/>
    <x v="3"/>
    <x v="2"/>
    <x v="1"/>
    <m/>
    <m/>
  </r>
  <r>
    <s v="Shower Nozzle Cleaning Unclogging Needle Mini Crevice Small Hole Cleaning Brush"/>
    <n v="1658"/>
    <n v="1699"/>
    <x v="44"/>
    <x v="23"/>
    <x v="22"/>
    <n v="41"/>
    <x v="3"/>
    <x v="2"/>
    <x v="1"/>
    <m/>
    <m/>
  </r>
  <r>
    <s v="Pen Grips For Kids Pen Grip Posture Correction Tool For Kids"/>
    <n v="1660"/>
    <n v="1699"/>
    <x v="44"/>
    <x v="23"/>
    <x v="22"/>
    <n v="39"/>
    <x v="3"/>
    <x v="2"/>
    <x v="1"/>
    <m/>
    <m/>
  </r>
  <r>
    <s v="2 Pairs Cowhide Split Leather Work Gloves.32â„‰ Or Above Welding Gloves"/>
    <n v="1666"/>
    <n v="1699"/>
    <x v="44"/>
    <x v="23"/>
    <x v="22"/>
    <n v="33"/>
    <x v="3"/>
    <x v="2"/>
    <x v="1"/>
    <m/>
    <m/>
  </r>
  <r>
    <s v="Thickening Multipurpose Non Stick Easy To Clean Heat Resistant Spoon Pad"/>
    <n v="1768"/>
    <n v="1799"/>
    <x v="44"/>
    <x v="23"/>
    <x v="22"/>
    <n v="31"/>
    <x v="3"/>
    <x v="2"/>
    <x v="1"/>
    <m/>
    <m/>
  </r>
  <r>
    <s v="Shower Cap Wide Elastic Band Cover Reusable Bashroom Cap"/>
    <n v="2132"/>
    <n v="2169"/>
    <x v="44"/>
    <x v="23"/>
    <x v="22"/>
    <n v="37"/>
    <x v="3"/>
    <x v="2"/>
    <x v="2"/>
    <m/>
    <m/>
  </r>
  <r>
    <s v="24 Grid Wall-mounted Sundries Organiser Fabric Closet Bag Storage Rack"/>
    <n v="1875"/>
    <n v="1899"/>
    <x v="45"/>
    <x v="23"/>
    <x v="22"/>
    <n v="24"/>
    <x v="3"/>
    <x v="2"/>
    <x v="1"/>
    <m/>
    <m/>
  </r>
  <r>
    <m/>
    <m/>
    <m/>
    <x v="46"/>
    <x v="23"/>
    <x v="22"/>
    <m/>
    <x v="3"/>
    <x v="3"/>
    <x v="3"/>
    <m/>
    <m/>
  </r>
  <r>
    <m/>
    <m/>
    <m/>
    <x v="46"/>
    <x v="23"/>
    <x v="22"/>
    <m/>
    <x v="3"/>
    <x v="3"/>
    <x v="3"/>
    <m/>
    <m/>
  </r>
  <r>
    <m/>
    <m/>
    <m/>
    <x v="46"/>
    <x v="23"/>
    <x v="22"/>
    <m/>
    <x v="3"/>
    <x v="3"/>
    <x v="3"/>
    <m/>
    <m/>
  </r>
  <r>
    <m/>
    <m/>
    <m/>
    <x v="46"/>
    <x v="23"/>
    <x v="22"/>
    <m/>
    <x v="3"/>
    <x v="3"/>
    <x v="3"/>
    <m/>
    <m/>
  </r>
  <r>
    <m/>
    <m/>
    <m/>
    <x v="46"/>
    <x v="23"/>
    <x v="22"/>
    <m/>
    <x v="3"/>
    <x v="3"/>
    <x v="3"/>
    <m/>
    <m/>
  </r>
  <r>
    <m/>
    <m/>
    <m/>
    <x v="46"/>
    <x v="23"/>
    <x v="22"/>
    <m/>
    <x v="3"/>
    <x v="3"/>
    <x v="3"/>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FCE5B7A-C5D4-4856-96F6-BAACC3003A00}" name="PivotTable3" cacheId="5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10">
    <pivotField dataField="1" showAll="0">
      <items count="109">
        <item x="10"/>
        <item x="21"/>
        <item x="35"/>
        <item x="12"/>
        <item x="45"/>
        <item x="106"/>
        <item x="37"/>
        <item x="14"/>
        <item x="59"/>
        <item x="98"/>
        <item x="31"/>
        <item x="102"/>
        <item x="87"/>
        <item x="86"/>
        <item x="76"/>
        <item x="42"/>
        <item x="49"/>
        <item x="16"/>
        <item x="74"/>
        <item x="38"/>
        <item x="63"/>
        <item x="7"/>
        <item x="68"/>
        <item x="101"/>
        <item x="48"/>
        <item x="28"/>
        <item x="19"/>
        <item x="11"/>
        <item x="91"/>
        <item x="53"/>
        <item x="60"/>
        <item x="80"/>
        <item x="84"/>
        <item x="61"/>
        <item x="51"/>
        <item x="82"/>
        <item x="89"/>
        <item x="47"/>
        <item x="72"/>
        <item x="3"/>
        <item x="52"/>
        <item x="69"/>
        <item x="70"/>
        <item x="4"/>
        <item x="57"/>
        <item x="66"/>
        <item x="73"/>
        <item x="64"/>
        <item x="85"/>
        <item x="81"/>
        <item x="75"/>
        <item x="1"/>
        <item x="58"/>
        <item x="99"/>
        <item x="78"/>
        <item x="33"/>
        <item x="5"/>
        <item x="54"/>
        <item x="15"/>
        <item x="24"/>
        <item x="22"/>
        <item x="30"/>
        <item x="34"/>
        <item x="46"/>
        <item x="6"/>
        <item x="41"/>
        <item x="26"/>
        <item x="0"/>
        <item x="20"/>
        <item x="8"/>
        <item x="105"/>
        <item x="25"/>
        <item x="32"/>
        <item x="83"/>
        <item x="18"/>
        <item x="43"/>
        <item x="29"/>
        <item x="107"/>
        <item x="62"/>
        <item x="27"/>
        <item x="71"/>
        <item x="104"/>
        <item x="90"/>
        <item x="39"/>
        <item x="93"/>
        <item x="77"/>
        <item x="2"/>
        <item x="97"/>
        <item x="65"/>
        <item x="9"/>
        <item x="17"/>
        <item x="92"/>
        <item x="36"/>
        <item x="88"/>
        <item x="23"/>
        <item x="56"/>
        <item x="103"/>
        <item x="96"/>
        <item x="67"/>
        <item x="100"/>
        <item x="44"/>
        <item x="79"/>
        <item x="95"/>
        <item x="55"/>
        <item x="94"/>
        <item x="50"/>
        <item x="13"/>
        <item x="40"/>
        <item t="default"/>
      </items>
    </pivotField>
    <pivotField numFmtId="165" showAll="0"/>
    <pivotField numFmtId="165" showAll="0"/>
    <pivotField numFmtId="9" showAll="0"/>
    <pivotField showAll="0"/>
    <pivotField showAll="0"/>
    <pivotField numFmtId="165" showAll="0"/>
    <pivotField showAll="0"/>
    <pivotField axis="axisRow" showAll="0">
      <items count="4">
        <item x="0"/>
        <item x="2"/>
        <item x="1"/>
        <item t="default"/>
      </items>
    </pivotField>
    <pivotField showAll="0"/>
  </pivotFields>
  <rowFields count="1">
    <field x="8"/>
  </rowFields>
  <rowItems count="4">
    <i>
      <x/>
    </i>
    <i>
      <x v="1"/>
    </i>
    <i>
      <x v="2"/>
    </i>
    <i t="grand">
      <x/>
    </i>
  </rowItems>
  <colItems count="1">
    <i/>
  </colItems>
  <dataFields count="1">
    <dataField name="Count of Product" fld="0" subtotal="count" baseField="8"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A910253-E26E-4635-A114-83614EFCCBE6}" name="PivotTable6"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D7" firstHeaderRow="0" firstDataRow="1" firstDataCol="1"/>
  <pivotFields count="10">
    <pivotField dataField="1" showAll="0" defaultSubtotal="0">
      <items count="108">
        <item x="10"/>
        <item x="21"/>
        <item x="35"/>
        <item x="12"/>
        <item x="45"/>
        <item x="106"/>
        <item x="37"/>
        <item x="14"/>
        <item x="59"/>
        <item x="98"/>
        <item x="31"/>
        <item x="102"/>
        <item x="87"/>
        <item x="86"/>
        <item x="76"/>
        <item x="42"/>
        <item x="49"/>
        <item x="16"/>
        <item x="74"/>
        <item x="38"/>
        <item x="63"/>
        <item x="7"/>
        <item x="68"/>
        <item x="101"/>
        <item x="48"/>
        <item x="28"/>
        <item x="19"/>
        <item x="11"/>
        <item x="91"/>
        <item x="53"/>
        <item x="60"/>
        <item x="80"/>
        <item x="84"/>
        <item x="61"/>
        <item x="51"/>
        <item x="82"/>
        <item x="89"/>
        <item x="47"/>
        <item x="72"/>
        <item x="3"/>
        <item x="52"/>
        <item x="69"/>
        <item x="70"/>
        <item x="4"/>
        <item x="57"/>
        <item x="66"/>
        <item x="73"/>
        <item x="64"/>
        <item x="85"/>
        <item x="81"/>
        <item x="75"/>
        <item x="1"/>
        <item x="58"/>
        <item x="99"/>
        <item x="78"/>
        <item x="33"/>
        <item x="5"/>
        <item x="54"/>
        <item x="15"/>
        <item x="24"/>
        <item x="22"/>
        <item x="30"/>
        <item x="34"/>
        <item x="46"/>
        <item x="6"/>
        <item x="41"/>
        <item x="26"/>
        <item x="0"/>
        <item x="20"/>
        <item x="8"/>
        <item x="105"/>
        <item x="25"/>
        <item x="32"/>
        <item x="83"/>
        <item x="18"/>
        <item x="43"/>
        <item x="29"/>
        <item x="107"/>
        <item x="62"/>
        <item x="27"/>
        <item x="71"/>
        <item x="104"/>
        <item x="90"/>
        <item x="39"/>
        <item x="93"/>
        <item x="77"/>
        <item x="2"/>
        <item x="97"/>
        <item x="65"/>
        <item x="9"/>
        <item x="17"/>
        <item x="92"/>
        <item x="36"/>
        <item x="88"/>
        <item x="23"/>
        <item x="56"/>
        <item x="103"/>
        <item x="96"/>
        <item x="67"/>
        <item x="100"/>
        <item x="44"/>
        <item x="79"/>
        <item x="95"/>
        <item x="55"/>
        <item x="94"/>
        <item x="50"/>
        <item x="13"/>
        <item x="40"/>
      </items>
    </pivotField>
    <pivotField numFmtId="165" showAll="0"/>
    <pivotField numFmtId="165" showAll="0"/>
    <pivotField numFmtId="9" showAll="0"/>
    <pivotField dataField="1" showAll="0">
      <items count="25">
        <item x="2"/>
        <item x="1"/>
        <item x="0"/>
        <item x="4"/>
        <item x="13"/>
        <item x="7"/>
        <item x="16"/>
        <item x="19"/>
        <item x="3"/>
        <item x="18"/>
        <item x="14"/>
        <item x="17"/>
        <item x="20"/>
        <item x="22"/>
        <item x="6"/>
        <item x="11"/>
        <item x="12"/>
        <item x="15"/>
        <item x="5"/>
        <item x="10"/>
        <item x="9"/>
        <item x="8"/>
        <item x="21"/>
        <item x="23"/>
        <item t="default"/>
      </items>
    </pivotField>
    <pivotField dataField="1" showAll="0"/>
    <pivotField numFmtId="165" showAll="0"/>
    <pivotField axis="axisRow" showAll="0">
      <items count="5">
        <item x="1"/>
        <item x="0"/>
        <item x="2"/>
        <item h="1" x="3"/>
        <item t="default"/>
      </items>
    </pivotField>
    <pivotField showAll="0"/>
    <pivotField showAll="0"/>
  </pivotFields>
  <rowFields count="1">
    <field x="7"/>
  </rowFields>
  <rowItems count="4">
    <i>
      <x/>
    </i>
    <i>
      <x v="1"/>
    </i>
    <i>
      <x v="2"/>
    </i>
    <i t="grand">
      <x/>
    </i>
  </rowItems>
  <colFields count="1">
    <field x="-2"/>
  </colFields>
  <colItems count="3">
    <i>
      <x/>
    </i>
    <i i="1">
      <x v="1"/>
    </i>
    <i i="2">
      <x v="2"/>
    </i>
  </colItems>
  <dataFields count="3">
    <dataField name="Count of Product" fld="0" subtotal="count" baseField="0" baseItem="0"/>
    <dataField name="Average of Review" fld="4" subtotal="average" baseField="7" baseItem="0" numFmtId="164"/>
    <dataField name="Average of Ratings" fld="5" subtotal="average" baseField="7" baseItem="0" numFmtId="164"/>
  </dataFields>
  <chartFormats count="3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pivotArea type="data" outline="0" fieldPosition="0">
        <references count="2">
          <reference field="4294967294" count="1" selected="0">
            <x v="0"/>
          </reference>
          <reference field="7" count="1" selected="0">
            <x v="0"/>
          </reference>
        </references>
      </pivotArea>
    </chartFormat>
    <chartFormat chart="0" format="4">
      <pivotArea type="data" outline="0" fieldPosition="0">
        <references count="2">
          <reference field="4294967294" count="1" selected="0">
            <x v="0"/>
          </reference>
          <reference field="7" count="1" selected="0">
            <x v="1"/>
          </reference>
        </references>
      </pivotArea>
    </chartFormat>
    <chartFormat chart="0" format="5">
      <pivotArea type="data" outline="0" fieldPosition="0">
        <references count="2">
          <reference field="4294967294" count="1" selected="0">
            <x v="0"/>
          </reference>
          <reference field="7" count="1" selected="0">
            <x v="2"/>
          </reference>
        </references>
      </pivotArea>
    </chartFormat>
    <chartFormat chart="0" format="6">
      <pivotArea type="data" outline="0" fieldPosition="0">
        <references count="2">
          <reference field="4294967294" count="1" selected="0">
            <x v="1"/>
          </reference>
          <reference field="7" count="1" selected="0">
            <x v="0"/>
          </reference>
        </references>
      </pivotArea>
    </chartFormat>
    <chartFormat chart="0" format="7">
      <pivotArea type="data" outline="0" fieldPosition="0">
        <references count="2">
          <reference field="4294967294" count="1" selected="0">
            <x v="1"/>
          </reference>
          <reference field="7" count="1" selected="0">
            <x v="1"/>
          </reference>
        </references>
      </pivotArea>
    </chartFormat>
    <chartFormat chart="0" format="8">
      <pivotArea type="data" outline="0" fieldPosition="0">
        <references count="2">
          <reference field="4294967294" count="1" selected="0">
            <x v="1"/>
          </reference>
          <reference field="7" count="1" selected="0">
            <x v="2"/>
          </reference>
        </references>
      </pivotArea>
    </chartFormat>
    <chartFormat chart="0" format="9">
      <pivotArea type="data" outline="0" fieldPosition="0">
        <references count="2">
          <reference field="4294967294" count="1" selected="0">
            <x v="2"/>
          </reference>
          <reference field="7" count="1" selected="0">
            <x v="0"/>
          </reference>
        </references>
      </pivotArea>
    </chartFormat>
    <chartFormat chart="0" format="10">
      <pivotArea type="data" outline="0" fieldPosition="0">
        <references count="2">
          <reference field="4294967294" count="1" selected="0">
            <x v="2"/>
          </reference>
          <reference field="7" count="1" selected="0">
            <x v="1"/>
          </reference>
        </references>
      </pivotArea>
    </chartFormat>
    <chartFormat chart="0" format="11">
      <pivotArea type="data" outline="0" fieldPosition="0">
        <references count="2">
          <reference field="4294967294" count="1" selected="0">
            <x v="2"/>
          </reference>
          <reference field="7" count="1" selected="0">
            <x v="2"/>
          </reference>
        </references>
      </pivotArea>
    </chartFormat>
    <chartFormat chart="6" format="24" series="1">
      <pivotArea type="data" outline="0" fieldPosition="0">
        <references count="1">
          <reference field="4294967294" count="1" selected="0">
            <x v="0"/>
          </reference>
        </references>
      </pivotArea>
    </chartFormat>
    <chartFormat chart="6" format="25">
      <pivotArea type="data" outline="0" fieldPosition="0">
        <references count="2">
          <reference field="4294967294" count="1" selected="0">
            <x v="0"/>
          </reference>
          <reference field="7" count="1" selected="0">
            <x v="0"/>
          </reference>
        </references>
      </pivotArea>
    </chartFormat>
    <chartFormat chart="6" format="26">
      <pivotArea type="data" outline="0" fieldPosition="0">
        <references count="2">
          <reference field="4294967294" count="1" selected="0">
            <x v="0"/>
          </reference>
          <reference field="7" count="1" selected="0">
            <x v="1"/>
          </reference>
        </references>
      </pivotArea>
    </chartFormat>
    <chartFormat chart="6" format="27">
      <pivotArea type="data" outline="0" fieldPosition="0">
        <references count="2">
          <reference field="4294967294" count="1" selected="0">
            <x v="0"/>
          </reference>
          <reference field="7" count="1" selected="0">
            <x v="2"/>
          </reference>
        </references>
      </pivotArea>
    </chartFormat>
    <chartFormat chart="6" format="28" series="1">
      <pivotArea type="data" outline="0" fieldPosition="0">
        <references count="1">
          <reference field="4294967294" count="1" selected="0">
            <x v="1"/>
          </reference>
        </references>
      </pivotArea>
    </chartFormat>
    <chartFormat chart="6" format="29">
      <pivotArea type="data" outline="0" fieldPosition="0">
        <references count="2">
          <reference field="4294967294" count="1" selected="0">
            <x v="1"/>
          </reference>
          <reference field="7" count="1" selected="0">
            <x v="0"/>
          </reference>
        </references>
      </pivotArea>
    </chartFormat>
    <chartFormat chart="6" format="30">
      <pivotArea type="data" outline="0" fieldPosition="0">
        <references count="2">
          <reference field="4294967294" count="1" selected="0">
            <x v="1"/>
          </reference>
          <reference field="7" count="1" selected="0">
            <x v="1"/>
          </reference>
        </references>
      </pivotArea>
    </chartFormat>
    <chartFormat chart="6" format="31">
      <pivotArea type="data" outline="0" fieldPosition="0">
        <references count="2">
          <reference field="4294967294" count="1" selected="0">
            <x v="1"/>
          </reference>
          <reference field="7" count="1" selected="0">
            <x v="2"/>
          </reference>
        </references>
      </pivotArea>
    </chartFormat>
    <chartFormat chart="6" format="32" series="1">
      <pivotArea type="data" outline="0" fieldPosition="0">
        <references count="1">
          <reference field="4294967294" count="1" selected="0">
            <x v="2"/>
          </reference>
        </references>
      </pivotArea>
    </chartFormat>
    <chartFormat chart="6" format="33">
      <pivotArea type="data" outline="0" fieldPosition="0">
        <references count="2">
          <reference field="4294967294" count="1" selected="0">
            <x v="2"/>
          </reference>
          <reference field="7" count="1" selected="0">
            <x v="0"/>
          </reference>
        </references>
      </pivotArea>
    </chartFormat>
    <chartFormat chart="6" format="34">
      <pivotArea type="data" outline="0" fieldPosition="0">
        <references count="2">
          <reference field="4294967294" count="1" selected="0">
            <x v="2"/>
          </reference>
          <reference field="7" count="1" selected="0">
            <x v="1"/>
          </reference>
        </references>
      </pivotArea>
    </chartFormat>
    <chartFormat chart="6" format="35">
      <pivotArea type="data" outline="0" fieldPosition="0">
        <references count="2">
          <reference field="4294967294" count="1" selected="0">
            <x v="2"/>
          </reference>
          <reference field="7" count="1" selected="0">
            <x v="2"/>
          </reference>
        </references>
      </pivotArea>
    </chartFormat>
    <chartFormat chart="8" format="48" series="1">
      <pivotArea type="data" outline="0" fieldPosition="0">
        <references count="1">
          <reference field="4294967294" count="1" selected="0">
            <x v="0"/>
          </reference>
        </references>
      </pivotArea>
    </chartFormat>
    <chartFormat chart="8" format="49">
      <pivotArea type="data" outline="0" fieldPosition="0">
        <references count="2">
          <reference field="4294967294" count="1" selected="0">
            <x v="0"/>
          </reference>
          <reference field="7" count="1" selected="0">
            <x v="0"/>
          </reference>
        </references>
      </pivotArea>
    </chartFormat>
    <chartFormat chart="8" format="50">
      <pivotArea type="data" outline="0" fieldPosition="0">
        <references count="2">
          <reference field="4294967294" count="1" selected="0">
            <x v="0"/>
          </reference>
          <reference field="7" count="1" selected="0">
            <x v="1"/>
          </reference>
        </references>
      </pivotArea>
    </chartFormat>
    <chartFormat chart="8" format="51">
      <pivotArea type="data" outline="0" fieldPosition="0">
        <references count="2">
          <reference field="4294967294" count="1" selected="0">
            <x v="0"/>
          </reference>
          <reference field="7" count="1" selected="0">
            <x v="2"/>
          </reference>
        </references>
      </pivotArea>
    </chartFormat>
    <chartFormat chart="8" format="52" series="1">
      <pivotArea type="data" outline="0" fieldPosition="0">
        <references count="1">
          <reference field="4294967294" count="1" selected="0">
            <x v="1"/>
          </reference>
        </references>
      </pivotArea>
    </chartFormat>
    <chartFormat chart="8" format="53">
      <pivotArea type="data" outline="0" fieldPosition="0">
        <references count="2">
          <reference field="4294967294" count="1" selected="0">
            <x v="1"/>
          </reference>
          <reference field="7" count="1" selected="0">
            <x v="0"/>
          </reference>
        </references>
      </pivotArea>
    </chartFormat>
    <chartFormat chart="8" format="54">
      <pivotArea type="data" outline="0" fieldPosition="0">
        <references count="2">
          <reference field="4294967294" count="1" selected="0">
            <x v="1"/>
          </reference>
          <reference field="7" count="1" selected="0">
            <x v="1"/>
          </reference>
        </references>
      </pivotArea>
    </chartFormat>
    <chartFormat chart="8" format="55">
      <pivotArea type="data" outline="0" fieldPosition="0">
        <references count="2">
          <reference field="4294967294" count="1" selected="0">
            <x v="1"/>
          </reference>
          <reference field="7" count="1" selected="0">
            <x v="2"/>
          </reference>
        </references>
      </pivotArea>
    </chartFormat>
    <chartFormat chart="8" format="56" series="1">
      <pivotArea type="data" outline="0" fieldPosition="0">
        <references count="1">
          <reference field="4294967294" count="1" selected="0">
            <x v="2"/>
          </reference>
        </references>
      </pivotArea>
    </chartFormat>
    <chartFormat chart="8" format="57">
      <pivotArea type="data" outline="0" fieldPosition="0">
        <references count="2">
          <reference field="4294967294" count="1" selected="0">
            <x v="2"/>
          </reference>
          <reference field="7" count="1" selected="0">
            <x v="0"/>
          </reference>
        </references>
      </pivotArea>
    </chartFormat>
    <chartFormat chart="8" format="58">
      <pivotArea type="data" outline="0" fieldPosition="0">
        <references count="2">
          <reference field="4294967294" count="1" selected="0">
            <x v="2"/>
          </reference>
          <reference field="7" count="1" selected="0">
            <x v="1"/>
          </reference>
        </references>
      </pivotArea>
    </chartFormat>
    <chartFormat chart="8" format="59">
      <pivotArea type="data" outline="0" fieldPosition="0">
        <references count="2">
          <reference field="4294967294" count="1" selected="0">
            <x v="2"/>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7F9E6DA-B992-4061-99AE-FEC9979F49FC}" name="PivotTable3" cacheId="4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6" firstHeaderRow="1" firstDataRow="1" firstDataCol="1"/>
  <pivotFields count="12">
    <pivotField dataField="1" showAll="0"/>
    <pivotField showAll="0"/>
    <pivotField showAll="0"/>
    <pivotField showAll="0">
      <items count="48">
        <item x="45"/>
        <item x="44"/>
        <item x="43"/>
        <item x="42"/>
        <item x="41"/>
        <item x="26"/>
        <item x="40"/>
        <item x="34"/>
        <item x="39"/>
        <item x="28"/>
        <item x="12"/>
        <item x="24"/>
        <item x="2"/>
        <item x="33"/>
        <item x="18"/>
        <item x="15"/>
        <item x="13"/>
        <item x="7"/>
        <item x="11"/>
        <item x="32"/>
        <item x="25"/>
        <item x="29"/>
        <item x="23"/>
        <item x="10"/>
        <item x="14"/>
        <item x="38"/>
        <item x="9"/>
        <item x="16"/>
        <item x="31"/>
        <item x="1"/>
        <item x="22"/>
        <item x="17"/>
        <item x="30"/>
        <item x="27"/>
        <item x="5"/>
        <item x="8"/>
        <item x="21"/>
        <item x="0"/>
        <item x="35"/>
        <item x="4"/>
        <item x="20"/>
        <item x="3"/>
        <item x="19"/>
        <item x="6"/>
        <item x="37"/>
        <item x="36"/>
        <item x="46"/>
        <item t="default"/>
      </items>
    </pivotField>
    <pivotField showAll="0">
      <items count="25">
        <item x="0"/>
        <item x="1"/>
        <item x="2"/>
        <item x="3"/>
        <item x="12"/>
        <item x="5"/>
        <item x="15"/>
        <item x="19"/>
        <item x="4"/>
        <item x="18"/>
        <item x="14"/>
        <item x="17"/>
        <item x="20"/>
        <item x="22"/>
        <item x="6"/>
        <item x="8"/>
        <item x="13"/>
        <item x="16"/>
        <item x="7"/>
        <item x="9"/>
        <item x="10"/>
        <item x="11"/>
        <item x="21"/>
        <item x="23"/>
        <item t="default"/>
      </items>
    </pivotField>
    <pivotField showAll="0">
      <items count="24">
        <item x="21"/>
        <item x="20"/>
        <item x="19"/>
        <item x="18"/>
        <item x="17"/>
        <item x="16"/>
        <item x="15"/>
        <item x="14"/>
        <item x="13"/>
        <item x="12"/>
        <item x="11"/>
        <item x="10"/>
        <item x="9"/>
        <item x="8"/>
        <item x="7"/>
        <item x="6"/>
        <item x="5"/>
        <item x="4"/>
        <item x="3"/>
        <item x="2"/>
        <item x="1"/>
        <item x="0"/>
        <item x="22"/>
        <item t="default"/>
      </items>
    </pivotField>
    <pivotField showAll="0"/>
    <pivotField showAll="0">
      <items count="5">
        <item h="1" x="1"/>
        <item x="0"/>
        <item h="1" x="2"/>
        <item h="1" x="3"/>
        <item t="default"/>
      </items>
    </pivotField>
    <pivotField axis="axisRow" showAll="0">
      <items count="5">
        <item x="0"/>
        <item x="2"/>
        <item x="1"/>
        <item h="1" x="3"/>
        <item t="default"/>
      </items>
    </pivotField>
    <pivotField showAll="0">
      <items count="5">
        <item h="1" x="2"/>
        <item h="1" x="0"/>
        <item x="1"/>
        <item h="1" x="3"/>
        <item t="default"/>
      </items>
    </pivotField>
    <pivotField showAll="0"/>
    <pivotField showAll="0"/>
  </pivotFields>
  <rowFields count="1">
    <field x="8"/>
  </rowFields>
  <rowItems count="3">
    <i>
      <x/>
    </i>
    <i>
      <x v="2"/>
    </i>
    <i t="grand">
      <x/>
    </i>
  </rowItems>
  <colItems count="1">
    <i/>
  </colItems>
  <dataFields count="1">
    <dataField name="Count of Product" fld="0" subtotal="count" baseField="0" baseItem="0"/>
  </dataFields>
  <chartFormats count="9">
    <chartFormat chart="0" format="0"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0"/>
          </reference>
        </references>
      </pivotArea>
    </chartFormat>
    <chartFormat chart="6" format="6">
      <pivotArea type="data" outline="0" fieldPosition="0">
        <references count="2">
          <reference field="4294967294" count="1" selected="0">
            <x v="0"/>
          </reference>
          <reference field="8" count="1" selected="0">
            <x v="0"/>
          </reference>
        </references>
      </pivotArea>
    </chartFormat>
    <chartFormat chart="6" format="7">
      <pivotArea type="data" outline="0" fieldPosition="0">
        <references count="2">
          <reference field="4294967294" count="1" selected="0">
            <x v="0"/>
          </reference>
          <reference field="8" count="1" selected="0">
            <x v="1"/>
          </reference>
        </references>
      </pivotArea>
    </chartFormat>
    <chartFormat chart="6" format="8">
      <pivotArea type="data" outline="0" fieldPosition="0">
        <references count="2">
          <reference field="4294967294" count="1" selected="0">
            <x v="0"/>
          </reference>
          <reference field="8" count="1" selected="0">
            <x v="2"/>
          </reference>
        </references>
      </pivotArea>
    </chartFormat>
    <chartFormat chart="9" format="13" series="1">
      <pivotArea type="data" outline="0" fieldPosition="0">
        <references count="1">
          <reference field="4294967294" count="1" selected="0">
            <x v="0"/>
          </reference>
        </references>
      </pivotArea>
    </chartFormat>
    <chartFormat chart="9" format="14">
      <pivotArea type="data" outline="0" fieldPosition="0">
        <references count="2">
          <reference field="4294967294" count="1" selected="0">
            <x v="0"/>
          </reference>
          <reference field="8" count="1" selected="0">
            <x v="0"/>
          </reference>
        </references>
      </pivotArea>
    </chartFormat>
    <chartFormat chart="9" format="15">
      <pivotArea type="data" outline="0" fieldPosition="0">
        <references count="2">
          <reference field="4294967294" count="1" selected="0">
            <x v="0"/>
          </reference>
          <reference field="8" count="1" selected="0">
            <x v="1"/>
          </reference>
        </references>
      </pivotArea>
    </chartFormat>
    <chartFormat chart="9" format="16">
      <pivotArea type="data" outline="0" fieldPosition="0">
        <references count="2">
          <reference field="4294967294" count="1" selected="0">
            <x v="0"/>
          </reference>
          <reference field="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41722E9-EB74-4FCC-9739-71746620E79C}" name="PivotTable15" cacheId="5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20:D22" firstHeaderRow="0" firstDataRow="1" firstDataCol="1"/>
  <pivotFields count="10">
    <pivotField dataField="1" showAll="0"/>
    <pivotField numFmtId="165" showAll="0"/>
    <pivotField numFmtId="165" showAll="0"/>
    <pivotField dataField="1" numFmtId="9" showAll="0">
      <items count="47">
        <item x="45"/>
        <item x="44"/>
        <item x="43"/>
        <item x="42"/>
        <item x="41"/>
        <item x="20"/>
        <item x="40"/>
        <item x="35"/>
        <item x="39"/>
        <item x="19"/>
        <item x="32"/>
        <item x="18"/>
        <item x="31"/>
        <item x="34"/>
        <item x="17"/>
        <item x="30"/>
        <item x="29"/>
        <item x="28"/>
        <item x="27"/>
        <item x="16"/>
        <item x="15"/>
        <item x="14"/>
        <item x="13"/>
        <item x="26"/>
        <item x="12"/>
        <item x="38"/>
        <item x="11"/>
        <item x="25"/>
        <item x="10"/>
        <item x="24"/>
        <item x="9"/>
        <item x="23"/>
        <item x="8"/>
        <item x="7"/>
        <item x="6"/>
        <item x="5"/>
        <item x="4"/>
        <item x="3"/>
        <item x="33"/>
        <item x="22"/>
        <item x="2"/>
        <item x="1"/>
        <item x="0"/>
        <item x="21"/>
        <item x="37"/>
        <item x="36"/>
        <item t="default"/>
      </items>
    </pivotField>
    <pivotField dataField="1" showAll="0"/>
    <pivotField showAll="0"/>
    <pivotField numFmtId="165" showAll="0"/>
    <pivotField showAll="0"/>
    <pivotField axis="axisRow" showAll="0">
      <items count="4">
        <item h="1" x="0"/>
        <item x="2"/>
        <item h="1" x="1"/>
        <item t="default"/>
      </items>
    </pivotField>
    <pivotField showAll="0"/>
  </pivotFields>
  <rowFields count="1">
    <field x="8"/>
  </rowFields>
  <rowItems count="2">
    <i>
      <x v="1"/>
    </i>
    <i t="grand">
      <x/>
    </i>
  </rowItems>
  <colFields count="1">
    <field x="-2"/>
  </colFields>
  <colItems count="3">
    <i>
      <x/>
    </i>
    <i i="1">
      <x v="1"/>
    </i>
    <i i="2">
      <x v="2"/>
    </i>
  </colItems>
  <dataFields count="3">
    <dataField name="Count of Product" fld="0" subtotal="count" baseField="0" baseItem="0" numFmtId="4"/>
    <dataField name="Average of Review" fld="4" subtotal="average" baseField="8" baseItem="0" numFmtId="164"/>
    <dataField name="Average of Discount" fld="3" subtotal="average" baseField="8" baseItem="2" numFmtId="166"/>
  </dataFields>
  <formats count="2">
    <format dxfId="3">
      <pivotArea outline="0" collapsedLevelsAreSubtotals="1" fieldPosition="0">
        <references count="1">
          <reference field="4294967294" count="1" selected="0">
            <x v="0"/>
          </reference>
        </references>
      </pivotArea>
    </format>
    <format dxfId="2">
      <pivotArea dataOnly="0" labelOnly="1" outline="0" fieldPosition="0">
        <references count="1">
          <reference field="4294967294" count="1">
            <x v="0"/>
          </reference>
        </references>
      </pivotArea>
    </format>
  </format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 chart="3" format="2"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F2F5981-1C39-4EDB-A0A5-26258BA2D4FC}" name="PivotTable12"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13:D17" firstHeaderRow="0" firstDataRow="1" firstDataCol="1"/>
  <pivotFields count="10">
    <pivotField dataField="1" showAll="0" defaultSubtotal="0">
      <items count="108">
        <item x="10"/>
        <item x="21"/>
        <item x="35"/>
        <item x="12"/>
        <item x="45"/>
        <item x="106"/>
        <item x="37"/>
        <item x="14"/>
        <item x="59"/>
        <item x="98"/>
        <item x="31"/>
        <item x="102"/>
        <item x="87"/>
        <item x="86"/>
        <item x="76"/>
        <item x="42"/>
        <item x="49"/>
        <item x="16"/>
        <item x="74"/>
        <item x="38"/>
        <item x="63"/>
        <item x="7"/>
        <item x="68"/>
        <item x="101"/>
        <item x="48"/>
        <item x="28"/>
        <item x="19"/>
        <item x="11"/>
        <item x="91"/>
        <item x="53"/>
        <item x="60"/>
        <item x="80"/>
        <item x="84"/>
        <item x="61"/>
        <item x="51"/>
        <item x="82"/>
        <item x="89"/>
        <item x="47"/>
        <item x="72"/>
        <item x="3"/>
        <item x="52"/>
        <item x="69"/>
        <item x="70"/>
        <item x="4"/>
        <item x="57"/>
        <item x="66"/>
        <item x="73"/>
        <item x="64"/>
        <item x="85"/>
        <item x="81"/>
        <item x="75"/>
        <item x="1"/>
        <item x="58"/>
        <item x="99"/>
        <item x="78"/>
        <item x="33"/>
        <item x="5"/>
        <item x="54"/>
        <item x="15"/>
        <item x="24"/>
        <item x="22"/>
        <item x="30"/>
        <item x="34"/>
        <item x="46"/>
        <item x="6"/>
        <item x="41"/>
        <item x="26"/>
        <item x="0"/>
        <item x="20"/>
        <item x="8"/>
        <item x="105"/>
        <item x="25"/>
        <item x="32"/>
        <item x="83"/>
        <item x="18"/>
        <item x="43"/>
        <item x="29"/>
        <item x="107"/>
        <item x="62"/>
        <item x="27"/>
        <item x="71"/>
        <item x="104"/>
        <item x="90"/>
        <item x="39"/>
        <item x="93"/>
        <item x="77"/>
        <item x="2"/>
        <item x="97"/>
        <item x="65"/>
        <item x="9"/>
        <item x="17"/>
        <item x="92"/>
        <item x="36"/>
        <item x="88"/>
        <item x="23"/>
        <item x="56"/>
        <item x="103"/>
        <item x="96"/>
        <item x="67"/>
        <item x="100"/>
        <item x="44"/>
        <item x="79"/>
        <item x="95"/>
        <item x="55"/>
        <item x="94"/>
        <item x="50"/>
        <item x="13"/>
        <item x="40"/>
      </items>
    </pivotField>
    <pivotField numFmtId="165" showAll="0"/>
    <pivotField numFmtId="165" showAll="0"/>
    <pivotField numFmtId="9" showAll="0"/>
    <pivotField dataField="1" showAll="0">
      <items count="25">
        <item x="2"/>
        <item x="1"/>
        <item x="0"/>
        <item x="4"/>
        <item x="13"/>
        <item x="7"/>
        <item x="16"/>
        <item x="19"/>
        <item x="3"/>
        <item x="18"/>
        <item x="14"/>
        <item x="17"/>
        <item x="20"/>
        <item x="22"/>
        <item x="6"/>
        <item x="11"/>
        <item x="12"/>
        <item x="15"/>
        <item x="5"/>
        <item x="10"/>
        <item x="9"/>
        <item x="8"/>
        <item x="21"/>
        <item x="23"/>
        <item t="default"/>
      </items>
    </pivotField>
    <pivotField dataField="1" showAll="0"/>
    <pivotField numFmtId="165" showAll="0"/>
    <pivotField axis="axisRow" showAll="0">
      <items count="5">
        <item x="1"/>
        <item x="0"/>
        <item x="2"/>
        <item h="1" x="3"/>
        <item t="default"/>
      </items>
    </pivotField>
    <pivotField showAll="0"/>
    <pivotField showAll="0"/>
  </pivotFields>
  <rowFields count="1">
    <field x="7"/>
  </rowFields>
  <rowItems count="4">
    <i>
      <x/>
    </i>
    <i>
      <x v="1"/>
    </i>
    <i>
      <x v="2"/>
    </i>
    <i t="grand">
      <x/>
    </i>
  </rowItems>
  <colFields count="1">
    <field x="-2"/>
  </colFields>
  <colItems count="3">
    <i>
      <x/>
    </i>
    <i i="1">
      <x v="1"/>
    </i>
    <i i="2">
      <x v="2"/>
    </i>
  </colItems>
  <dataFields count="3">
    <dataField name="Count of Product" fld="0" subtotal="count" baseField="0" baseItem="0" numFmtId="4"/>
    <dataField name="Average of Review" fld="4" subtotal="average" baseField="7" baseItem="0" numFmtId="164"/>
    <dataField name="Average of Ratings" fld="5" subtotal="average" baseField="7" baseItem="0" numFmtId="164"/>
  </dataFields>
  <formats count="2">
    <format dxfId="1">
      <pivotArea outline="0" collapsedLevelsAreSubtotals="1" fieldPosition="0">
        <references count="1">
          <reference field="4294967294" count="1" selected="0">
            <x v="0"/>
          </reference>
        </references>
      </pivotArea>
    </format>
    <format dxfId="0">
      <pivotArea dataOnly="0" labelOnly="1" outline="0" fieldPosition="0">
        <references count="1">
          <reference field="4294967294" count="1">
            <x v="0"/>
          </reference>
        </references>
      </pivotArea>
    </format>
  </formats>
  <chartFormats count="2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pivotArea type="data" outline="0" fieldPosition="0">
        <references count="2">
          <reference field="4294967294" count="1" selected="0">
            <x v="0"/>
          </reference>
          <reference field="7" count="1" selected="0">
            <x v="0"/>
          </reference>
        </references>
      </pivotArea>
    </chartFormat>
    <chartFormat chart="0" format="4">
      <pivotArea type="data" outline="0" fieldPosition="0">
        <references count="2">
          <reference field="4294967294" count="1" selected="0">
            <x v="0"/>
          </reference>
          <reference field="7" count="1" selected="0">
            <x v="1"/>
          </reference>
        </references>
      </pivotArea>
    </chartFormat>
    <chartFormat chart="0" format="5">
      <pivotArea type="data" outline="0" fieldPosition="0">
        <references count="2">
          <reference field="4294967294" count="1" selected="0">
            <x v="0"/>
          </reference>
          <reference field="7" count="1" selected="0">
            <x v="2"/>
          </reference>
        </references>
      </pivotArea>
    </chartFormat>
    <chartFormat chart="0" format="6">
      <pivotArea type="data" outline="0" fieldPosition="0">
        <references count="2">
          <reference field="4294967294" count="1" selected="0">
            <x v="1"/>
          </reference>
          <reference field="7" count="1" selected="0">
            <x v="0"/>
          </reference>
        </references>
      </pivotArea>
    </chartFormat>
    <chartFormat chart="0" format="7">
      <pivotArea type="data" outline="0" fieldPosition="0">
        <references count="2">
          <reference field="4294967294" count="1" selected="0">
            <x v="1"/>
          </reference>
          <reference field="7" count="1" selected="0">
            <x v="1"/>
          </reference>
        </references>
      </pivotArea>
    </chartFormat>
    <chartFormat chart="0" format="8">
      <pivotArea type="data" outline="0" fieldPosition="0">
        <references count="2">
          <reference field="4294967294" count="1" selected="0">
            <x v="1"/>
          </reference>
          <reference field="7" count="1" selected="0">
            <x v="2"/>
          </reference>
        </references>
      </pivotArea>
    </chartFormat>
    <chartFormat chart="0" format="9">
      <pivotArea type="data" outline="0" fieldPosition="0">
        <references count="2">
          <reference field="4294967294" count="1" selected="0">
            <x v="2"/>
          </reference>
          <reference field="7" count="1" selected="0">
            <x v="0"/>
          </reference>
        </references>
      </pivotArea>
    </chartFormat>
    <chartFormat chart="0" format="10">
      <pivotArea type="data" outline="0" fieldPosition="0">
        <references count="2">
          <reference field="4294967294" count="1" selected="0">
            <x v="2"/>
          </reference>
          <reference field="7" count="1" selected="0">
            <x v="1"/>
          </reference>
        </references>
      </pivotArea>
    </chartFormat>
    <chartFormat chart="0" format="11">
      <pivotArea type="data" outline="0" fieldPosition="0">
        <references count="2">
          <reference field="4294967294" count="1" selected="0">
            <x v="2"/>
          </reference>
          <reference field="7" count="1" selected="0">
            <x v="2"/>
          </reference>
        </references>
      </pivotArea>
    </chartFormat>
    <chartFormat chart="6"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1"/>
          </reference>
        </references>
      </pivotArea>
    </chartFormat>
    <chartFormat chart="6" format="2" series="1">
      <pivotArea type="data" outline="0" fieldPosition="0">
        <references count="1">
          <reference field="4294967294" count="1" selected="0">
            <x v="2"/>
          </reference>
        </references>
      </pivotArea>
    </chartFormat>
    <chartFormat chart="10" format="3" series="1">
      <pivotArea type="data" outline="0" fieldPosition="0">
        <references count="1">
          <reference field="4294967294" count="1" selected="0">
            <x v="0"/>
          </reference>
        </references>
      </pivotArea>
    </chartFormat>
    <chartFormat chart="10" format="4" series="1">
      <pivotArea type="data" outline="0" fieldPosition="0">
        <references count="1">
          <reference field="4294967294" count="1" selected="0">
            <x v="1"/>
          </reference>
        </references>
      </pivotArea>
    </chartFormat>
    <chartFormat chart="10" format="5" series="1">
      <pivotArea type="data" outline="0" fieldPosition="0">
        <references count="1">
          <reference field="4294967294" count="1" selected="0">
            <x v="2"/>
          </reference>
        </references>
      </pivotArea>
    </chartFormat>
    <chartFormat chart="11" format="6" series="1">
      <pivotArea type="data" outline="0" fieldPosition="0">
        <references count="1">
          <reference field="4294967294" count="1" selected="0">
            <x v="0"/>
          </reference>
        </references>
      </pivotArea>
    </chartFormat>
    <chartFormat chart="11" format="7" series="1">
      <pivotArea type="data" outline="0" fieldPosition="0">
        <references count="1">
          <reference field="4294967294" count="1" selected="0">
            <x v="1"/>
          </reference>
        </references>
      </pivotArea>
    </chartFormat>
    <chartFormat chart="11" format="8" series="1">
      <pivotArea type="data" outline="0" fieldPosition="0">
        <references count="1">
          <reference field="4294967294" count="1" selected="0">
            <x v="2"/>
          </reference>
        </references>
      </pivotArea>
    </chartFormat>
    <chartFormat chart="14" format="12" series="1">
      <pivotArea type="data" outline="0" fieldPosition="0">
        <references count="1">
          <reference field="4294967294" count="1" selected="0">
            <x v="0"/>
          </reference>
        </references>
      </pivotArea>
    </chartFormat>
    <chartFormat chart="14" format="13" series="1">
      <pivotArea type="data" outline="0" fieldPosition="0">
        <references count="1">
          <reference field="4294967294" count="1" selected="0">
            <x v="1"/>
          </reference>
        </references>
      </pivotArea>
    </chartFormat>
    <chartFormat chart="14" format="14"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view" xr10:uid="{3E739D12-02A2-4614-A2E8-53CEB7E6BB72}" sourceName="Review">
  <data>
    <tabular pivotCacheId="1140012543">
      <items count="24">
        <i x="4"/>
        <i x="8"/>
        <i x="13"/>
        <i x="6"/>
        <i x="9" s="1"/>
        <i x="0"/>
        <i x="3"/>
        <i x="1"/>
        <i x="11"/>
        <i x="2"/>
        <i x="5"/>
        <i x="12"/>
        <i x="22"/>
        <i x="21"/>
        <i x="10"/>
        <i x="18"/>
        <i x="17"/>
        <i x="7"/>
        <i x="16"/>
        <i x="14"/>
        <i x="15"/>
        <i x="19"/>
        <i x="20"/>
        <i x="23"/>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atings" xr10:uid="{26114138-8C87-49BF-8D5F-C13E5DC442A1}" sourceName="Ratings">
  <pivotTables>
    <pivotTable tabId="16" name="PivotTable3"/>
  </pivotTables>
  <data>
    <tabular pivotCacheId="606448683">
      <items count="23">
        <i x="4" s="1"/>
        <i x="2" s="1"/>
        <i x="1" s="1"/>
        <i x="0" s="1"/>
        <i x="21" s="1" nd="1"/>
        <i x="20" s="1" nd="1"/>
        <i x="19" s="1" nd="1"/>
        <i x="18" s="1" nd="1"/>
        <i x="17" s="1" nd="1"/>
        <i x="16" s="1" nd="1"/>
        <i x="15" s="1" nd="1"/>
        <i x="14" s="1" nd="1"/>
        <i x="13" s="1" nd="1"/>
        <i x="12" s="1" nd="1"/>
        <i x="11" s="1" nd="1"/>
        <i x="10" s="1" nd="1"/>
        <i x="9" s="1" nd="1"/>
        <i x="8" s="1" nd="1"/>
        <i x="7" s="1" nd="1"/>
        <i x="6" s="1" nd="1"/>
        <i x="5" s="1" nd="1"/>
        <i x="3" s="1" nd="1"/>
        <i x="22"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ating_Category" xr10:uid="{22C5F949-CBBA-49D6-98B1-5741F80DCEF2}" sourceName="Rating Category">
  <pivotTables>
    <pivotTable tabId="16" name="PivotTable3"/>
  </pivotTables>
  <data>
    <tabular pivotCacheId="606448683">
      <items count="4">
        <i x="1"/>
        <i x="0" s="1"/>
        <i x="2"/>
        <i x="3"/>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ice_Categpry" xr10:uid="{D69F6722-C5C3-42E2-8C91-77E9AC761CB6}" sourceName="Price Categpry">
  <pivotTables>
    <pivotTable tabId="16" name="PivotTable3"/>
  </pivotTables>
  <data>
    <tabular pivotCacheId="606448683">
      <items count="4">
        <i x="2"/>
        <i x="0"/>
        <i x="1" s="1"/>
        <i x="3" nd="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scount_Category" xr10:uid="{2E96586B-3606-463F-A632-97A00285A613}" sourceName="Discount Category">
  <pivotTables>
    <pivotTable tabId="3" name="PivotTable15"/>
  </pivotTables>
  <data>
    <tabular pivotCacheId="1140012543">
      <items count="3">
        <i x="0"/>
        <i x="2" s="1"/>
        <i x="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75898ECD-36EC-42DF-9DDC-1487E0907453}" sourceName="Product">
  <pivotTables>
    <pivotTable tabId="6" name="PivotTable3"/>
  </pivotTables>
  <data>
    <tabular pivotCacheId="2065730278">
      <items count="108">
        <i x="10" s="1"/>
        <i x="21" s="1"/>
        <i x="35" s="1"/>
        <i x="12" s="1"/>
        <i x="45" s="1"/>
        <i x="106" s="1"/>
        <i x="37" s="1"/>
        <i x="14" s="1"/>
        <i x="59" s="1"/>
        <i x="98" s="1"/>
        <i x="31" s="1"/>
        <i x="102" s="1"/>
        <i x="87" s="1"/>
        <i x="86" s="1"/>
        <i x="76" s="1"/>
        <i x="42" s="1"/>
        <i x="49" s="1"/>
        <i x="16" s="1"/>
        <i x="74" s="1"/>
        <i x="38" s="1"/>
        <i x="63" s="1"/>
        <i x="7" s="1"/>
        <i x="68" s="1"/>
        <i x="101" s="1"/>
        <i x="48" s="1"/>
        <i x="28" s="1"/>
        <i x="19" s="1"/>
        <i x="11" s="1"/>
        <i x="91" s="1"/>
        <i x="53" s="1"/>
        <i x="60" s="1"/>
        <i x="80" s="1"/>
        <i x="84" s="1"/>
        <i x="61" s="1"/>
        <i x="51" s="1"/>
        <i x="82" s="1"/>
        <i x="89" s="1"/>
        <i x="47" s="1"/>
        <i x="72" s="1"/>
        <i x="3" s="1"/>
        <i x="52" s="1"/>
        <i x="69" s="1"/>
        <i x="70" s="1"/>
        <i x="4" s="1"/>
        <i x="57" s="1"/>
        <i x="66" s="1"/>
        <i x="73" s="1"/>
        <i x="64" s="1"/>
        <i x="85" s="1"/>
        <i x="81" s="1"/>
        <i x="75" s="1"/>
        <i x="1" s="1"/>
        <i x="58" s="1"/>
        <i x="99" s="1"/>
        <i x="78" s="1"/>
        <i x="33" s="1"/>
        <i x="5" s="1"/>
        <i x="54" s="1"/>
        <i x="15" s="1"/>
        <i x="24" s="1"/>
        <i x="22" s="1"/>
        <i x="30" s="1"/>
        <i x="34" s="1"/>
        <i x="46" s="1"/>
        <i x="6" s="1"/>
        <i x="41" s="1"/>
        <i x="26" s="1"/>
        <i x="0" s="1"/>
        <i x="20" s="1"/>
        <i x="8" s="1"/>
        <i x="105" s="1"/>
        <i x="25" s="1"/>
        <i x="32" s="1"/>
        <i x="83" s="1"/>
        <i x="18" s="1"/>
        <i x="43" s="1"/>
        <i x="29" s="1"/>
        <i x="107" s="1"/>
        <i x="62" s="1"/>
        <i x="27" s="1"/>
        <i x="71" s="1"/>
        <i x="104" s="1"/>
        <i x="90" s="1"/>
        <i x="39" s="1"/>
        <i x="93" s="1"/>
        <i x="77" s="1"/>
        <i x="2" s="1"/>
        <i x="97" s="1"/>
        <i x="65" s="1"/>
        <i x="9" s="1"/>
        <i x="17" s="1"/>
        <i x="92" s="1"/>
        <i x="36" s="1"/>
        <i x="88" s="1"/>
        <i x="23" s="1"/>
        <i x="56" s="1"/>
        <i x="103" s="1"/>
        <i x="96" s="1"/>
        <i x="67" s="1"/>
        <i x="100" s="1"/>
        <i x="44" s="1"/>
        <i x="79" s="1"/>
        <i x="95" s="1"/>
        <i x="55" s="1"/>
        <i x="94" s="1"/>
        <i x="50" s="1"/>
        <i x="13" s="1"/>
        <i x="40"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scount_Category1" xr10:uid="{A7F7562E-A192-4126-9549-F4ACA9D37607}" sourceName="Discount Category">
  <pivotTables>
    <pivotTable tabId="6" name="PivotTable3"/>
  </pivotTables>
  <data>
    <tabular pivotCacheId="2065730278">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93548D5C-510F-489B-A677-648E6A61DB42}" cache="Slicer_Product" caption="Product" rowHeight="257175"/>
  <slicer name="Discount Category" xr10:uid="{B3EE7DC6-97EF-49B9-859C-BC2F71465AE0}" cache="Slicer_Discount_Category1" caption="Discount Category"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atings" xr10:uid="{CEBADD52-3135-4A43-B956-D72F86CBAA4D}" cache="Slicer_Ratings" caption="Ratings" startItem="14" rowHeight="257175"/>
  <slicer name="Rating Category" xr10:uid="{EB4A8FF0-8C4A-49A2-AA5A-45FDE82C4C7F}" cache="Slicer_Rating_Category" caption="Rating Category" rowHeight="257175"/>
  <slicer name="Price Categpry" xr10:uid="{39B2D689-2832-4800-96A2-867283228800}" cache="Slicer_Price_Categpry" caption="Price Categpry" rowHeight="257175"/>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view 1" xr10:uid="{A398A893-F7DA-4506-AB3E-5559E275AB9E}" cache="Slicer_Review" caption="Review" rowHeight="257175"/>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ice Categpry 1" xr10:uid="{9C7DD9AB-5C18-47CD-AFE2-F4933675BCBE}" cache="Slicer_Price_Categpry" caption="Price Categpry" rowHeight="257175"/>
  <slicer name="Discount Category 1" xr10:uid="{D95E09D0-B269-4C3B-85F1-8535A121E38B}" cache="Slicer_Discount_Category" caption="Discount Category"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9B3F975-8B8D-47B9-98E6-030074BBB6DF}" name="Table1" displayName="Table1" ref="A1:J117" totalsRowShown="0">
  <autoFilter ref="A1:J117" xr:uid="{99B3F975-8B8D-47B9-98E6-030074BBB6DF}"/>
  <tableColumns count="10">
    <tableColumn id="1" xr3:uid="{493D0522-7E89-47DA-936E-614AD21B5CF2}" name="Product" dataDxfId="15"/>
    <tableColumn id="2" xr3:uid="{D6C63E65-CEAF-4EE7-BB0A-144856A8CD4D}" name="Current price" dataDxfId="14"/>
    <tableColumn id="3" xr3:uid="{FCD3F978-ADE4-4F06-B276-AC2FFB4C74F0}" name="Old Price" dataDxfId="13"/>
    <tableColumn id="4" xr3:uid="{B0CF4B8F-06EF-493E-AD3A-0D9AD7899FD4}" name="Discount" dataDxfId="12"/>
    <tableColumn id="5" xr3:uid="{FAAA1570-F370-41E7-BFFC-C0B53626BFF4}" name="Review" dataDxfId="11"/>
    <tableColumn id="6" xr3:uid="{A4BB7C80-71F3-46BB-B67D-08A39AFDB8B9}" name="Ratings" dataDxfId="10"/>
    <tableColumn id="7" xr3:uid="{9245AFD3-2B5B-40A8-A6A7-3372EAC63887}" name="Discount Amount" dataDxfId="9"/>
    <tableColumn id="8" xr3:uid="{811C8CF6-9318-42AA-AB6C-5204A45CEEE6}" name="Rating Category" dataDxfId="8"/>
    <tableColumn id="9" xr3:uid="{116FB141-2BF9-4D4D-ABEB-C725DE067DC0}" name="Discount Category" dataDxfId="7"/>
    <tableColumn id="10" xr3:uid="{B0E27CAD-489E-4193-8BEA-E592B1E53F6F}" name="Price Categpry"/>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C77674A-6C85-48B3-BDC4-3B5336A51CEE}" name="Table2" displayName="Table2" ref="A1:L112" totalsRowShown="0">
  <autoFilter ref="A1:L112" xr:uid="{8C77674A-6C85-48B3-BDC4-3B5336A51CEE}"/>
  <sortState xmlns:xlrd2="http://schemas.microsoft.com/office/spreadsheetml/2017/richdata2" ref="A2:L112">
    <sortCondition descending="1" ref="F2:F112"/>
  </sortState>
  <tableColumns count="12">
    <tableColumn id="1" xr3:uid="{5D88E6E4-2DD5-448B-B83B-8AD50FC20644}" name="Product" dataDxfId="21"/>
    <tableColumn id="2" xr3:uid="{D8F53563-7AD1-4682-A2EC-E7933FF12241}" name="Current price" dataDxfId="20"/>
    <tableColumn id="3" xr3:uid="{3272A37E-8CC3-4D6D-AC82-4F5E0297AF87}" name="Old Price" dataDxfId="19"/>
    <tableColumn id="4" xr3:uid="{CF153ADD-A88A-49B5-B0E8-1F5BA89D7E1F}" name="Discount" dataDxfId="18"/>
    <tableColumn id="5" xr3:uid="{013A7C99-465D-4837-8809-42DABAB5822F}" name="Review" dataDxfId="17"/>
    <tableColumn id="6" xr3:uid="{11AB47EF-1E4B-45C7-9917-ED4E0E45A07E}" name="Ratings" dataDxfId="6"/>
    <tableColumn id="7" xr3:uid="{41614129-9EA6-40FE-8882-0C402AD7AA27}" name="Discount Amount" dataDxfId="4">
      <calculatedColumnFormula>(C2-B2)</calculatedColumnFormula>
    </tableColumn>
    <tableColumn id="8" xr3:uid="{83EBB753-42D4-469B-A0EA-717750DACC61}" name="Rating Category" dataDxfId="5"/>
    <tableColumn id="9" xr3:uid="{690F2C1D-B78B-4EEF-B150-50167DA2D904}" name="Discount Category" dataDxfId="16">
      <calculatedColumnFormula>IF(D2&lt;20%,"Low Discount",IF(D2&lt;=40%,"Medium Discount","High Discount"))</calculatedColumnFormula>
    </tableColumn>
    <tableColumn id="10" xr3:uid="{DE4932C3-A23F-4D4A-8CDC-964B00AE4A67}" name="Price Categpry">
      <calculatedColumnFormula>IF(B2&lt;1000,"Low Price",IF(B2&lt;=2000,"Medium Price","High Price"))</calculatedColumnFormula>
    </tableColumn>
    <tableColumn id="11" xr3:uid="{1568C0ED-D6D8-421E-B91F-F3FB172290D5}" name="Column1"/>
    <tableColumn id="12" xr3:uid="{1510A1F2-2096-4C8B-BE9F-0CE25368693D}" name="Column2"/>
  </tableColumns>
  <tableStyleInfo name="TableStyleMedium2"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2.xml"/></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ivotTable" Target="../pivotTables/pivotTable5.xml"/><Relationship Id="rId1"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5.xml"/></Relationships>
</file>

<file path=xl/worksheets/_rels/sheet9.xml.rels><?xml version="1.0" encoding="UTF-8" standalone="yes"?>
<Relationships xmlns="http://schemas.openxmlformats.org/package/2006/relationships"><Relationship Id="rId2" Type="http://schemas.microsoft.com/office/2007/relationships/slicer" Target="../slicers/slicer4.xml"/><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C556B4-17FA-4ADA-ABCF-7D2485EA423B}">
  <dimension ref="A1:H116"/>
  <sheetViews>
    <sheetView topLeftCell="A46" workbookViewId="0">
      <selection activeCell="A40" sqref="A40"/>
    </sheetView>
  </sheetViews>
  <sheetFormatPr defaultRowHeight="15" x14ac:dyDescent="0.25"/>
  <cols>
    <col min="1" max="1" width="95" bestFit="1" customWidth="1"/>
    <col min="2" max="3" width="19.42578125" bestFit="1" customWidth="1"/>
    <col min="4" max="4" width="9.28515625" bestFit="1" customWidth="1"/>
    <col min="5" max="5" width="7.7109375" bestFit="1" customWidth="1"/>
    <col min="6" max="6" width="10.42578125" bestFit="1" customWidth="1"/>
  </cols>
  <sheetData>
    <row r="1" spans="1:8" s="2" customFormat="1" ht="15.75" x14ac:dyDescent="0.25">
      <c r="A1" s="2" t="s">
        <v>0</v>
      </c>
      <c r="B1" s="2" t="s">
        <v>1</v>
      </c>
      <c r="C1" s="2" t="s">
        <v>321</v>
      </c>
      <c r="D1" s="2" t="s">
        <v>2</v>
      </c>
      <c r="E1" s="2" t="s">
        <v>3</v>
      </c>
      <c r="F1" s="2" t="s">
        <v>322</v>
      </c>
    </row>
    <row r="2" spans="1:8" x14ac:dyDescent="0.25">
      <c r="A2" t="s">
        <v>4</v>
      </c>
      <c r="B2" t="s">
        <v>5</v>
      </c>
      <c r="C2" t="s">
        <v>6</v>
      </c>
      <c r="D2" s="1">
        <v>0.38</v>
      </c>
      <c r="E2">
        <v>-2</v>
      </c>
      <c r="F2" t="s">
        <v>7</v>
      </c>
    </row>
    <row r="3" spans="1:8" x14ac:dyDescent="0.25">
      <c r="A3" t="s">
        <v>8</v>
      </c>
      <c r="B3" t="s">
        <v>9</v>
      </c>
      <c r="C3" t="s">
        <v>10</v>
      </c>
      <c r="D3" s="1">
        <v>0.47</v>
      </c>
      <c r="E3">
        <v>-14</v>
      </c>
      <c r="F3" t="s">
        <v>11</v>
      </c>
      <c r="H3" s="16"/>
    </row>
    <row r="4" spans="1:8" x14ac:dyDescent="0.25">
      <c r="A4" t="s">
        <v>12</v>
      </c>
      <c r="B4" t="s">
        <v>13</v>
      </c>
      <c r="C4" t="s">
        <v>14</v>
      </c>
      <c r="D4" s="1">
        <v>0.25</v>
      </c>
      <c r="E4">
        <v>-24</v>
      </c>
      <c r="F4" t="s">
        <v>15</v>
      </c>
      <c r="H4" s="16"/>
    </row>
    <row r="5" spans="1:8" x14ac:dyDescent="0.25">
      <c r="A5" t="s">
        <v>16</v>
      </c>
      <c r="B5" t="s">
        <v>17</v>
      </c>
      <c r="C5" t="s">
        <v>18</v>
      </c>
      <c r="D5" s="1">
        <v>0.37</v>
      </c>
      <c r="E5">
        <v>-7</v>
      </c>
      <c r="F5" t="s">
        <v>19</v>
      </c>
      <c r="H5" s="16"/>
    </row>
    <row r="6" spans="1:8" x14ac:dyDescent="0.25">
      <c r="A6" t="s">
        <v>20</v>
      </c>
      <c r="B6" t="s">
        <v>21</v>
      </c>
      <c r="C6" t="s">
        <v>22</v>
      </c>
      <c r="D6" s="1">
        <v>0.26</v>
      </c>
      <c r="E6">
        <v>-5</v>
      </c>
      <c r="F6" t="s">
        <v>23</v>
      </c>
      <c r="H6" s="16"/>
    </row>
    <row r="7" spans="1:8" x14ac:dyDescent="0.25">
      <c r="A7" t="s">
        <v>24</v>
      </c>
      <c r="B7" t="s">
        <v>25</v>
      </c>
      <c r="C7" t="s">
        <v>26</v>
      </c>
      <c r="D7" s="1">
        <v>0.09</v>
      </c>
      <c r="E7">
        <v>-15</v>
      </c>
      <c r="F7" t="s">
        <v>27</v>
      </c>
      <c r="H7" s="16"/>
    </row>
    <row r="8" spans="1:8" x14ac:dyDescent="0.25">
      <c r="A8" t="s">
        <v>28</v>
      </c>
      <c r="B8" t="s">
        <v>29</v>
      </c>
      <c r="C8" t="s">
        <v>30</v>
      </c>
      <c r="D8" s="1">
        <v>0.24</v>
      </c>
      <c r="E8">
        <v>-55</v>
      </c>
      <c r="F8" t="s">
        <v>15</v>
      </c>
      <c r="H8" s="16"/>
    </row>
    <row r="9" spans="1:8" x14ac:dyDescent="0.25">
      <c r="A9" t="s">
        <v>31</v>
      </c>
      <c r="B9" t="s">
        <v>32</v>
      </c>
      <c r="C9" t="s">
        <v>17</v>
      </c>
      <c r="D9" s="1">
        <v>0.37</v>
      </c>
      <c r="E9">
        <v>-2</v>
      </c>
      <c r="F9" t="s">
        <v>27</v>
      </c>
      <c r="H9" s="16"/>
    </row>
    <row r="10" spans="1:8" x14ac:dyDescent="0.25">
      <c r="A10" t="s">
        <v>33</v>
      </c>
      <c r="B10" t="s">
        <v>34</v>
      </c>
      <c r="C10" t="s">
        <v>35</v>
      </c>
      <c r="D10" s="1">
        <v>0.55000000000000004</v>
      </c>
      <c r="E10">
        <v>-5</v>
      </c>
      <c r="F10" t="s">
        <v>23</v>
      </c>
      <c r="H10" s="16"/>
    </row>
    <row r="11" spans="1:8" x14ac:dyDescent="0.25">
      <c r="A11" t="s">
        <v>36</v>
      </c>
      <c r="B11" t="s">
        <v>37</v>
      </c>
      <c r="C11" t="s">
        <v>38</v>
      </c>
      <c r="D11" s="1">
        <v>0.45</v>
      </c>
      <c r="E11">
        <v>-5</v>
      </c>
      <c r="F11" t="s">
        <v>39</v>
      </c>
      <c r="H11" s="16"/>
    </row>
    <row r="12" spans="1:8" x14ac:dyDescent="0.25">
      <c r="A12" t="s">
        <v>40</v>
      </c>
      <c r="B12" t="s">
        <v>41</v>
      </c>
      <c r="C12" t="s">
        <v>10</v>
      </c>
      <c r="D12" s="1">
        <v>0.2</v>
      </c>
      <c r="E12">
        <v>-12</v>
      </c>
      <c r="F12" t="s">
        <v>11</v>
      </c>
      <c r="H12" s="16"/>
    </row>
    <row r="13" spans="1:8" x14ac:dyDescent="0.25">
      <c r="A13" t="s">
        <v>42</v>
      </c>
      <c r="B13" t="s">
        <v>43</v>
      </c>
      <c r="C13" t="s">
        <v>44</v>
      </c>
      <c r="D13" s="1">
        <v>0.34</v>
      </c>
      <c r="E13">
        <v>-39</v>
      </c>
      <c r="F13" t="s">
        <v>19</v>
      </c>
      <c r="H13" s="16"/>
    </row>
    <row r="14" spans="1:8" x14ac:dyDescent="0.25">
      <c r="A14" t="s">
        <v>45</v>
      </c>
      <c r="B14" t="s">
        <v>46</v>
      </c>
      <c r="C14" t="s">
        <v>47</v>
      </c>
      <c r="D14" s="1">
        <v>0.47</v>
      </c>
      <c r="E14">
        <v>-12</v>
      </c>
      <c r="F14" t="s">
        <v>23</v>
      </c>
      <c r="H14" s="16"/>
    </row>
    <row r="15" spans="1:8" x14ac:dyDescent="0.25">
      <c r="A15" t="s">
        <v>48</v>
      </c>
      <c r="B15" t="s">
        <v>49</v>
      </c>
      <c r="C15" t="s">
        <v>50</v>
      </c>
      <c r="D15" s="1">
        <v>0.42</v>
      </c>
      <c r="E15">
        <v>-6</v>
      </c>
      <c r="F15" t="s">
        <v>7</v>
      </c>
      <c r="H15" s="16"/>
    </row>
    <row r="16" spans="1:8" x14ac:dyDescent="0.25">
      <c r="A16" t="s">
        <v>51</v>
      </c>
      <c r="B16" t="s">
        <v>52</v>
      </c>
      <c r="C16" t="s">
        <v>18</v>
      </c>
      <c r="D16" s="1">
        <v>0.33</v>
      </c>
      <c r="E16">
        <v>-9</v>
      </c>
      <c r="F16" t="s">
        <v>53</v>
      </c>
    </row>
    <row r="17" spans="1:6" x14ac:dyDescent="0.25">
      <c r="A17" t="s">
        <v>54</v>
      </c>
      <c r="B17" t="s">
        <v>55</v>
      </c>
      <c r="C17" t="s">
        <v>56</v>
      </c>
      <c r="D17" s="1">
        <v>0.51</v>
      </c>
      <c r="E17">
        <v>-2</v>
      </c>
      <c r="F17" t="s">
        <v>57</v>
      </c>
    </row>
    <row r="18" spans="1:6" x14ac:dyDescent="0.25">
      <c r="A18" t="s">
        <v>58</v>
      </c>
      <c r="B18" t="s">
        <v>59</v>
      </c>
      <c r="C18" t="s">
        <v>60</v>
      </c>
      <c r="D18" s="1">
        <v>0.46</v>
      </c>
      <c r="E18">
        <v>-2</v>
      </c>
      <c r="F18" t="s">
        <v>57</v>
      </c>
    </row>
    <row r="19" spans="1:6" x14ac:dyDescent="0.25">
      <c r="A19" t="s">
        <v>61</v>
      </c>
      <c r="B19" t="s">
        <v>62</v>
      </c>
      <c r="C19" t="s">
        <v>63</v>
      </c>
      <c r="D19" s="1">
        <v>0.49</v>
      </c>
      <c r="E19">
        <v>-3</v>
      </c>
      <c r="F19" t="s">
        <v>57</v>
      </c>
    </row>
    <row r="20" spans="1:6" x14ac:dyDescent="0.25">
      <c r="A20" t="s">
        <v>64</v>
      </c>
      <c r="B20" t="s">
        <v>25</v>
      </c>
      <c r="C20" t="s">
        <v>65</v>
      </c>
      <c r="D20" s="1">
        <v>0.19</v>
      </c>
      <c r="E20">
        <v>-5</v>
      </c>
      <c r="F20" t="s">
        <v>15</v>
      </c>
    </row>
    <row r="21" spans="1:6" x14ac:dyDescent="0.25">
      <c r="A21" t="s">
        <v>66</v>
      </c>
      <c r="B21" t="s">
        <v>67</v>
      </c>
      <c r="C21" t="s">
        <v>68</v>
      </c>
      <c r="D21" s="1">
        <v>0.49</v>
      </c>
      <c r="E21">
        <v>-44</v>
      </c>
      <c r="F21" t="s">
        <v>15</v>
      </c>
    </row>
    <row r="22" spans="1:6" x14ac:dyDescent="0.25">
      <c r="A22" t="s">
        <v>69</v>
      </c>
      <c r="B22" t="s">
        <v>70</v>
      </c>
      <c r="C22" t="s">
        <v>71</v>
      </c>
      <c r="D22" s="1">
        <v>0.53</v>
      </c>
      <c r="E22">
        <v>-13</v>
      </c>
      <c r="F22" t="s">
        <v>72</v>
      </c>
    </row>
    <row r="23" spans="1:6" x14ac:dyDescent="0.25">
      <c r="A23" t="s">
        <v>73</v>
      </c>
      <c r="B23" t="s">
        <v>74</v>
      </c>
      <c r="C23" t="s">
        <v>75</v>
      </c>
      <c r="D23" s="1">
        <v>0.42</v>
      </c>
    </row>
    <row r="24" spans="1:6" x14ac:dyDescent="0.25">
      <c r="A24" t="s">
        <v>76</v>
      </c>
      <c r="B24" t="s">
        <v>77</v>
      </c>
      <c r="C24" t="s">
        <v>78</v>
      </c>
      <c r="D24" s="1">
        <v>0.35</v>
      </c>
      <c r="E24">
        <v>-6</v>
      </c>
      <c r="F24" t="s">
        <v>27</v>
      </c>
    </row>
    <row r="25" spans="1:6" x14ac:dyDescent="0.25">
      <c r="A25" t="s">
        <v>79</v>
      </c>
      <c r="B25" t="s">
        <v>80</v>
      </c>
      <c r="C25" t="s">
        <v>81</v>
      </c>
      <c r="D25" s="1">
        <v>0.23</v>
      </c>
      <c r="E25">
        <v>-14</v>
      </c>
      <c r="F25" t="s">
        <v>82</v>
      </c>
    </row>
    <row r="26" spans="1:6" x14ac:dyDescent="0.25">
      <c r="A26" t="s">
        <v>83</v>
      </c>
      <c r="B26" t="s">
        <v>84</v>
      </c>
      <c r="C26" t="s">
        <v>85</v>
      </c>
      <c r="D26" s="1">
        <v>0.54</v>
      </c>
      <c r="E26">
        <v>-7</v>
      </c>
      <c r="F26" t="s">
        <v>86</v>
      </c>
    </row>
    <row r="27" spans="1:6" x14ac:dyDescent="0.25">
      <c r="A27" t="s">
        <v>87</v>
      </c>
      <c r="B27" t="s">
        <v>88</v>
      </c>
      <c r="C27" t="s">
        <v>89</v>
      </c>
      <c r="D27" s="1">
        <v>0.35</v>
      </c>
      <c r="E27">
        <v>-49</v>
      </c>
      <c r="F27" t="s">
        <v>15</v>
      </c>
    </row>
    <row r="28" spans="1:6" x14ac:dyDescent="0.25">
      <c r="A28" t="s">
        <v>90</v>
      </c>
      <c r="B28" t="s">
        <v>91</v>
      </c>
      <c r="C28" t="s">
        <v>92</v>
      </c>
      <c r="D28" s="1">
        <v>0.18</v>
      </c>
      <c r="E28">
        <v>-12</v>
      </c>
      <c r="F28" t="s">
        <v>39</v>
      </c>
    </row>
    <row r="29" spans="1:6" x14ac:dyDescent="0.25">
      <c r="A29" t="s">
        <v>93</v>
      </c>
      <c r="B29" t="s">
        <v>78</v>
      </c>
      <c r="C29" t="s">
        <v>94</v>
      </c>
      <c r="D29" s="1">
        <v>0.32</v>
      </c>
      <c r="E29">
        <v>-13</v>
      </c>
      <c r="F29" t="s">
        <v>39</v>
      </c>
    </row>
    <row r="30" spans="1:6" x14ac:dyDescent="0.25">
      <c r="A30" t="s">
        <v>95</v>
      </c>
      <c r="B30" t="s">
        <v>96</v>
      </c>
      <c r="C30" t="s">
        <v>18</v>
      </c>
      <c r="D30" s="1">
        <v>0.3</v>
      </c>
      <c r="E30">
        <v>-20</v>
      </c>
      <c r="F30" t="s">
        <v>11</v>
      </c>
    </row>
    <row r="31" spans="1:6" x14ac:dyDescent="0.25">
      <c r="A31" t="s">
        <v>97</v>
      </c>
      <c r="B31" t="s">
        <v>98</v>
      </c>
      <c r="C31" t="s">
        <v>99</v>
      </c>
      <c r="D31" s="1">
        <v>0.46</v>
      </c>
    </row>
    <row r="32" spans="1:6" x14ac:dyDescent="0.25">
      <c r="A32" t="s">
        <v>100</v>
      </c>
      <c r="B32" t="s">
        <v>101</v>
      </c>
      <c r="C32" t="s">
        <v>102</v>
      </c>
      <c r="D32" s="1">
        <v>0.52</v>
      </c>
      <c r="E32">
        <v>-9</v>
      </c>
      <c r="F32" t="s">
        <v>86</v>
      </c>
    </row>
    <row r="33" spans="1:6" x14ac:dyDescent="0.25">
      <c r="A33" t="s">
        <v>103</v>
      </c>
      <c r="B33" t="s">
        <v>104</v>
      </c>
      <c r="C33" t="s">
        <v>105</v>
      </c>
      <c r="D33" s="1">
        <v>0.34</v>
      </c>
      <c r="E33">
        <v>-12</v>
      </c>
      <c r="F33" t="s">
        <v>19</v>
      </c>
    </row>
    <row r="34" spans="1:6" x14ac:dyDescent="0.25">
      <c r="A34" t="s">
        <v>106</v>
      </c>
      <c r="B34" t="s">
        <v>107</v>
      </c>
      <c r="C34" t="s">
        <v>108</v>
      </c>
      <c r="D34" s="1">
        <v>0.48</v>
      </c>
      <c r="E34">
        <v>-9</v>
      </c>
      <c r="F34" t="s">
        <v>86</v>
      </c>
    </row>
    <row r="35" spans="1:6" x14ac:dyDescent="0.25">
      <c r="A35" t="s">
        <v>109</v>
      </c>
      <c r="B35" t="s">
        <v>110</v>
      </c>
      <c r="C35" t="s">
        <v>111</v>
      </c>
      <c r="D35" s="1">
        <v>0.27</v>
      </c>
      <c r="E35">
        <v>-20</v>
      </c>
      <c r="F35" t="s">
        <v>19</v>
      </c>
    </row>
    <row r="36" spans="1:6" x14ac:dyDescent="0.25">
      <c r="A36" t="s">
        <v>112</v>
      </c>
      <c r="B36" t="s">
        <v>113</v>
      </c>
      <c r="C36" t="s">
        <v>114</v>
      </c>
      <c r="D36" s="1">
        <v>0.27</v>
      </c>
      <c r="E36">
        <v>-32</v>
      </c>
      <c r="F36" t="s">
        <v>7</v>
      </c>
    </row>
    <row r="37" spans="1:6" x14ac:dyDescent="0.25">
      <c r="A37" t="s">
        <v>115</v>
      </c>
      <c r="B37" t="s">
        <v>116</v>
      </c>
      <c r="C37" t="s">
        <v>117</v>
      </c>
      <c r="D37" s="1">
        <v>0.4</v>
      </c>
      <c r="E37">
        <v>-1</v>
      </c>
      <c r="F37" t="s">
        <v>57</v>
      </c>
    </row>
    <row r="38" spans="1:6" x14ac:dyDescent="0.25">
      <c r="A38" t="s">
        <v>118</v>
      </c>
      <c r="B38" t="s">
        <v>119</v>
      </c>
      <c r="C38" t="s">
        <v>60</v>
      </c>
      <c r="D38" s="1">
        <v>0.53</v>
      </c>
      <c r="E38">
        <v>-2</v>
      </c>
      <c r="F38" t="s">
        <v>57</v>
      </c>
    </row>
    <row r="39" spans="1:6" x14ac:dyDescent="0.25">
      <c r="A39" t="s">
        <v>120</v>
      </c>
      <c r="B39" t="s">
        <v>121</v>
      </c>
      <c r="C39" t="s">
        <v>122</v>
      </c>
      <c r="D39" s="1">
        <v>0.41</v>
      </c>
      <c r="E39">
        <v>-36</v>
      </c>
      <c r="F39" t="s">
        <v>86</v>
      </c>
    </row>
    <row r="40" spans="1:6" x14ac:dyDescent="0.25">
      <c r="A40" t="s">
        <v>123</v>
      </c>
      <c r="B40" t="s">
        <v>124</v>
      </c>
      <c r="C40" t="s">
        <v>125</v>
      </c>
      <c r="D40" s="1">
        <v>0.38</v>
      </c>
      <c r="E40">
        <v>-2</v>
      </c>
      <c r="F40" t="s">
        <v>7</v>
      </c>
    </row>
    <row r="41" spans="1:6" x14ac:dyDescent="0.25">
      <c r="A41" t="s">
        <v>126</v>
      </c>
      <c r="B41" t="s">
        <v>127</v>
      </c>
      <c r="C41" t="s">
        <v>128</v>
      </c>
      <c r="D41" s="1">
        <v>0.38</v>
      </c>
    </row>
    <row r="42" spans="1:6" x14ac:dyDescent="0.25">
      <c r="A42" t="s">
        <v>129</v>
      </c>
      <c r="B42" t="s">
        <v>130</v>
      </c>
      <c r="C42" t="s">
        <v>131</v>
      </c>
      <c r="D42" s="1">
        <v>0.49</v>
      </c>
    </row>
    <row r="43" spans="1:6" x14ac:dyDescent="0.25">
      <c r="A43" t="s">
        <v>132</v>
      </c>
      <c r="B43" t="s">
        <v>133</v>
      </c>
      <c r="C43" t="s">
        <v>134</v>
      </c>
      <c r="D43" s="1">
        <v>0.5</v>
      </c>
    </row>
    <row r="44" spans="1:6" x14ac:dyDescent="0.25">
      <c r="A44" t="s">
        <v>135</v>
      </c>
      <c r="B44" t="s">
        <v>136</v>
      </c>
      <c r="C44" t="s">
        <v>137</v>
      </c>
      <c r="D44" s="1">
        <v>0.42</v>
      </c>
    </row>
    <row r="45" spans="1:6" x14ac:dyDescent="0.25">
      <c r="A45" t="s">
        <v>135</v>
      </c>
      <c r="B45" t="s">
        <v>136</v>
      </c>
      <c r="C45" t="s">
        <v>137</v>
      </c>
      <c r="D45" s="1">
        <v>0.42</v>
      </c>
    </row>
    <row r="46" spans="1:6" x14ac:dyDescent="0.25">
      <c r="A46" t="s">
        <v>138</v>
      </c>
      <c r="B46" t="s">
        <v>139</v>
      </c>
      <c r="C46" t="s">
        <v>140</v>
      </c>
      <c r="D46" s="1">
        <v>0.02</v>
      </c>
    </row>
    <row r="47" spans="1:6" x14ac:dyDescent="0.25">
      <c r="A47" t="s">
        <v>141</v>
      </c>
      <c r="B47" t="s">
        <v>10</v>
      </c>
      <c r="C47" t="s">
        <v>142</v>
      </c>
      <c r="D47" s="1">
        <v>0.5</v>
      </c>
    </row>
    <row r="48" spans="1:6" x14ac:dyDescent="0.25">
      <c r="A48" t="s">
        <v>143</v>
      </c>
      <c r="B48" t="s">
        <v>144</v>
      </c>
      <c r="C48" t="s">
        <v>145</v>
      </c>
      <c r="D48" s="1">
        <v>0.33</v>
      </c>
    </row>
    <row r="49" spans="1:6" x14ac:dyDescent="0.25">
      <c r="A49" t="s">
        <v>146</v>
      </c>
      <c r="B49" t="s">
        <v>147</v>
      </c>
      <c r="C49" t="s">
        <v>148</v>
      </c>
      <c r="D49" s="1">
        <v>0.49</v>
      </c>
    </row>
    <row r="50" spans="1:6" x14ac:dyDescent="0.25">
      <c r="A50" t="s">
        <v>149</v>
      </c>
      <c r="B50" t="s">
        <v>150</v>
      </c>
      <c r="C50" t="s">
        <v>151</v>
      </c>
      <c r="D50" s="1">
        <v>0.38</v>
      </c>
    </row>
    <row r="51" spans="1:6" x14ac:dyDescent="0.25">
      <c r="A51" t="s">
        <v>152</v>
      </c>
      <c r="B51" t="s">
        <v>153</v>
      </c>
      <c r="C51" t="s">
        <v>154</v>
      </c>
      <c r="D51" s="1">
        <v>0.61</v>
      </c>
    </row>
    <row r="52" spans="1:6" x14ac:dyDescent="0.25">
      <c r="A52" t="s">
        <v>155</v>
      </c>
      <c r="B52" t="s">
        <v>156</v>
      </c>
      <c r="C52" t="s">
        <v>157</v>
      </c>
      <c r="D52" s="1">
        <v>0.5</v>
      </c>
    </row>
    <row r="53" spans="1:6" x14ac:dyDescent="0.25">
      <c r="A53" t="s">
        <v>158</v>
      </c>
      <c r="B53" t="s">
        <v>159</v>
      </c>
      <c r="C53" t="s">
        <v>160</v>
      </c>
      <c r="D53" s="1">
        <v>0.02</v>
      </c>
    </row>
    <row r="54" spans="1:6" x14ac:dyDescent="0.25">
      <c r="A54" t="s">
        <v>161</v>
      </c>
      <c r="B54" t="s">
        <v>156</v>
      </c>
      <c r="C54" t="s">
        <v>162</v>
      </c>
      <c r="D54" s="1">
        <v>0.22</v>
      </c>
    </row>
    <row r="55" spans="1:6" x14ac:dyDescent="0.25">
      <c r="A55" t="s">
        <v>163</v>
      </c>
      <c r="B55" t="s">
        <v>164</v>
      </c>
      <c r="C55" t="s">
        <v>165</v>
      </c>
      <c r="D55" s="1">
        <v>0.03</v>
      </c>
    </row>
    <row r="56" spans="1:6" x14ac:dyDescent="0.25">
      <c r="A56" t="s">
        <v>166</v>
      </c>
      <c r="B56" t="s">
        <v>41</v>
      </c>
      <c r="C56" t="s">
        <v>167</v>
      </c>
      <c r="D56" s="1">
        <v>0.41</v>
      </c>
    </row>
    <row r="57" spans="1:6" x14ac:dyDescent="0.25">
      <c r="A57" t="s">
        <v>168</v>
      </c>
      <c r="B57" t="s">
        <v>169</v>
      </c>
      <c r="C57" t="s">
        <v>170</v>
      </c>
      <c r="D57" s="1">
        <v>0.45</v>
      </c>
    </row>
    <row r="58" spans="1:6" x14ac:dyDescent="0.25">
      <c r="A58" t="s">
        <v>171</v>
      </c>
      <c r="B58" t="s">
        <v>172</v>
      </c>
      <c r="C58" t="s">
        <v>167</v>
      </c>
      <c r="D58" s="1">
        <v>0.48</v>
      </c>
    </row>
    <row r="59" spans="1:6" x14ac:dyDescent="0.25">
      <c r="A59" t="s">
        <v>173</v>
      </c>
      <c r="B59" t="s">
        <v>41</v>
      </c>
      <c r="C59" t="s">
        <v>174</v>
      </c>
      <c r="D59" s="1">
        <v>0.49</v>
      </c>
    </row>
    <row r="60" spans="1:6" x14ac:dyDescent="0.25">
      <c r="A60" t="s">
        <v>175</v>
      </c>
      <c r="B60" t="s">
        <v>176</v>
      </c>
      <c r="C60" t="s">
        <v>177</v>
      </c>
      <c r="D60" s="1">
        <v>0.27</v>
      </c>
    </row>
    <row r="61" spans="1:6" x14ac:dyDescent="0.25">
      <c r="A61" t="s">
        <v>168</v>
      </c>
      <c r="B61" t="s">
        <v>178</v>
      </c>
      <c r="C61" t="s">
        <v>179</v>
      </c>
      <c r="D61" s="1">
        <v>0.55000000000000004</v>
      </c>
    </row>
    <row r="62" spans="1:6" x14ac:dyDescent="0.25">
      <c r="A62" t="s">
        <v>180</v>
      </c>
      <c r="B62" t="s">
        <v>181</v>
      </c>
      <c r="C62" t="s">
        <v>182</v>
      </c>
      <c r="D62" s="1">
        <v>0.13</v>
      </c>
      <c r="E62">
        <v>-6</v>
      </c>
      <c r="F62" t="s">
        <v>183</v>
      </c>
    </row>
    <row r="63" spans="1:6" x14ac:dyDescent="0.25">
      <c r="A63" t="s">
        <v>184</v>
      </c>
      <c r="B63" t="s">
        <v>185</v>
      </c>
      <c r="C63" t="s">
        <v>186</v>
      </c>
      <c r="D63" s="1">
        <v>0.54</v>
      </c>
      <c r="E63">
        <v>-10</v>
      </c>
      <c r="F63" t="s">
        <v>187</v>
      </c>
    </row>
    <row r="64" spans="1:6" x14ac:dyDescent="0.25">
      <c r="A64" t="s">
        <v>188</v>
      </c>
      <c r="B64" t="s">
        <v>189</v>
      </c>
      <c r="C64" t="s">
        <v>190</v>
      </c>
      <c r="D64" s="1">
        <v>0.55000000000000004</v>
      </c>
      <c r="E64">
        <v>-13</v>
      </c>
      <c r="F64" t="s">
        <v>191</v>
      </c>
    </row>
    <row r="65" spans="1:6" x14ac:dyDescent="0.25">
      <c r="A65" t="s">
        <v>192</v>
      </c>
      <c r="B65" t="s">
        <v>193</v>
      </c>
      <c r="C65" t="s">
        <v>194</v>
      </c>
      <c r="D65" s="1">
        <v>0.49</v>
      </c>
      <c r="E65">
        <v>-69</v>
      </c>
      <c r="F65" t="s">
        <v>195</v>
      </c>
    </row>
    <row r="66" spans="1:6" x14ac:dyDescent="0.25">
      <c r="A66" t="s">
        <v>196</v>
      </c>
      <c r="B66" t="s">
        <v>197</v>
      </c>
      <c r="C66" t="s">
        <v>198</v>
      </c>
      <c r="D66" s="1">
        <v>0.52</v>
      </c>
      <c r="E66">
        <v>-15</v>
      </c>
      <c r="F66" t="s">
        <v>199</v>
      </c>
    </row>
    <row r="67" spans="1:6" x14ac:dyDescent="0.25">
      <c r="A67" t="s">
        <v>200</v>
      </c>
      <c r="B67" t="s">
        <v>201</v>
      </c>
      <c r="C67" t="s">
        <v>202</v>
      </c>
      <c r="D67" s="1">
        <v>0.22</v>
      </c>
      <c r="E67">
        <v>-16</v>
      </c>
      <c r="F67" t="s">
        <v>203</v>
      </c>
    </row>
    <row r="68" spans="1:6" x14ac:dyDescent="0.25">
      <c r="A68" t="s">
        <v>204</v>
      </c>
      <c r="B68" t="s">
        <v>43</v>
      </c>
      <c r="C68" t="s">
        <v>205</v>
      </c>
      <c r="D68" s="1">
        <v>0.45</v>
      </c>
      <c r="E68">
        <v>-6</v>
      </c>
      <c r="F68" t="s">
        <v>206</v>
      </c>
    </row>
    <row r="69" spans="1:6" x14ac:dyDescent="0.25">
      <c r="A69" t="s">
        <v>207</v>
      </c>
      <c r="B69" t="s">
        <v>208</v>
      </c>
      <c r="C69" t="s">
        <v>142</v>
      </c>
      <c r="D69" s="1">
        <v>0.5</v>
      </c>
      <c r="E69">
        <v>-7</v>
      </c>
      <c r="F69" t="s">
        <v>209</v>
      </c>
    </row>
    <row r="70" spans="1:6" x14ac:dyDescent="0.25">
      <c r="A70" t="s">
        <v>210</v>
      </c>
      <c r="B70" t="s">
        <v>211</v>
      </c>
      <c r="C70" t="s">
        <v>212</v>
      </c>
      <c r="D70" s="1">
        <v>0.39</v>
      </c>
      <c r="E70">
        <v>-5</v>
      </c>
      <c r="F70" t="s">
        <v>187</v>
      </c>
    </row>
    <row r="71" spans="1:6" x14ac:dyDescent="0.25">
      <c r="A71" t="s">
        <v>213</v>
      </c>
      <c r="B71" t="s">
        <v>102</v>
      </c>
      <c r="C71" t="s">
        <v>214</v>
      </c>
      <c r="D71" s="1">
        <v>0.45</v>
      </c>
      <c r="E71">
        <v>-17</v>
      </c>
      <c r="F71" t="s">
        <v>215</v>
      </c>
    </row>
    <row r="72" spans="1:6" x14ac:dyDescent="0.25">
      <c r="A72" t="s">
        <v>216</v>
      </c>
      <c r="B72" t="s">
        <v>217</v>
      </c>
      <c r="C72" t="s">
        <v>218</v>
      </c>
      <c r="D72" s="1">
        <v>0.28999999999999998</v>
      </c>
      <c r="E72">
        <v>-5</v>
      </c>
      <c r="F72" t="s">
        <v>187</v>
      </c>
    </row>
    <row r="73" spans="1:6" x14ac:dyDescent="0.25">
      <c r="A73" t="s">
        <v>219</v>
      </c>
      <c r="B73" t="s">
        <v>220</v>
      </c>
      <c r="C73" t="s">
        <v>221</v>
      </c>
      <c r="D73" s="1">
        <v>0.43</v>
      </c>
      <c r="E73">
        <v>-6</v>
      </c>
      <c r="F73" t="s">
        <v>209</v>
      </c>
    </row>
    <row r="74" spans="1:6" x14ac:dyDescent="0.25">
      <c r="A74" t="s">
        <v>222</v>
      </c>
      <c r="B74" t="s">
        <v>223</v>
      </c>
      <c r="C74" t="s">
        <v>224</v>
      </c>
      <c r="D74" s="1">
        <v>0.43</v>
      </c>
      <c r="E74">
        <v>-5</v>
      </c>
      <c r="F74" t="s">
        <v>187</v>
      </c>
    </row>
    <row r="75" spans="1:6" x14ac:dyDescent="0.25">
      <c r="A75" t="s">
        <v>225</v>
      </c>
      <c r="B75" t="s">
        <v>226</v>
      </c>
      <c r="C75" t="s">
        <v>205</v>
      </c>
      <c r="D75" s="1">
        <v>0.47</v>
      </c>
      <c r="E75">
        <v>-6</v>
      </c>
      <c r="F75" t="s">
        <v>206</v>
      </c>
    </row>
    <row r="76" spans="1:6" x14ac:dyDescent="0.25">
      <c r="A76" t="s">
        <v>227</v>
      </c>
      <c r="B76" t="s">
        <v>228</v>
      </c>
      <c r="C76" t="s">
        <v>229</v>
      </c>
      <c r="D76" s="1">
        <v>0.47</v>
      </c>
      <c r="E76">
        <v>-7</v>
      </c>
      <c r="F76" t="s">
        <v>191</v>
      </c>
    </row>
    <row r="77" spans="1:6" x14ac:dyDescent="0.25">
      <c r="A77" t="s">
        <v>230</v>
      </c>
      <c r="B77" t="s">
        <v>231</v>
      </c>
      <c r="C77" t="s">
        <v>232</v>
      </c>
      <c r="D77" s="1">
        <v>0.47</v>
      </c>
    </row>
    <row r="78" spans="1:6" x14ac:dyDescent="0.25">
      <c r="A78" t="s">
        <v>233</v>
      </c>
      <c r="B78" t="s">
        <v>234</v>
      </c>
      <c r="C78" t="s">
        <v>150</v>
      </c>
      <c r="D78" s="1">
        <v>0.43</v>
      </c>
    </row>
    <row r="79" spans="1:6" x14ac:dyDescent="0.25">
      <c r="A79" t="s">
        <v>235</v>
      </c>
      <c r="B79" t="s">
        <v>236</v>
      </c>
      <c r="C79" t="s">
        <v>237</v>
      </c>
      <c r="D79" s="1">
        <v>0.04</v>
      </c>
    </row>
    <row r="80" spans="1:6" x14ac:dyDescent="0.25">
      <c r="A80" t="s">
        <v>238</v>
      </c>
      <c r="B80" t="s">
        <v>239</v>
      </c>
      <c r="C80" t="s">
        <v>240</v>
      </c>
      <c r="D80" s="1">
        <v>0.49</v>
      </c>
    </row>
    <row r="81" spans="1:6" x14ac:dyDescent="0.25">
      <c r="A81" t="s">
        <v>241</v>
      </c>
      <c r="B81" t="s">
        <v>242</v>
      </c>
      <c r="C81" t="s">
        <v>13</v>
      </c>
      <c r="D81" s="1">
        <v>0.46</v>
      </c>
      <c r="E81">
        <v>-1</v>
      </c>
      <c r="F81" t="s">
        <v>187</v>
      </c>
    </row>
    <row r="82" spans="1:6" x14ac:dyDescent="0.25">
      <c r="A82" t="s">
        <v>243</v>
      </c>
      <c r="B82" t="s">
        <v>244</v>
      </c>
      <c r="C82" t="s">
        <v>245</v>
      </c>
      <c r="D82" s="1">
        <v>0.49</v>
      </c>
      <c r="E82">
        <v>-1</v>
      </c>
      <c r="F82" t="s">
        <v>57</v>
      </c>
    </row>
    <row r="83" spans="1:6" x14ac:dyDescent="0.25">
      <c r="A83" t="s">
        <v>246</v>
      </c>
      <c r="B83" t="s">
        <v>247</v>
      </c>
      <c r="C83" t="s">
        <v>248</v>
      </c>
      <c r="D83" s="1">
        <v>0.36</v>
      </c>
    </row>
    <row r="84" spans="1:6" x14ac:dyDescent="0.25">
      <c r="A84" t="s">
        <v>249</v>
      </c>
      <c r="B84" t="s">
        <v>250</v>
      </c>
      <c r="C84" t="s">
        <v>160</v>
      </c>
      <c r="D84" s="1">
        <v>0.02</v>
      </c>
    </row>
    <row r="85" spans="1:6" x14ac:dyDescent="0.25">
      <c r="A85" t="s">
        <v>251</v>
      </c>
      <c r="B85" t="s">
        <v>252</v>
      </c>
      <c r="C85" t="s">
        <v>89</v>
      </c>
      <c r="D85" s="1">
        <v>0.49</v>
      </c>
      <c r="E85">
        <v>-1</v>
      </c>
      <c r="F85" t="s">
        <v>27</v>
      </c>
    </row>
    <row r="86" spans="1:6" x14ac:dyDescent="0.25">
      <c r="A86" t="s">
        <v>135</v>
      </c>
      <c r="B86" t="s">
        <v>136</v>
      </c>
      <c r="C86" t="s">
        <v>137</v>
      </c>
      <c r="D86" s="1">
        <v>0.42</v>
      </c>
    </row>
    <row r="87" spans="1:6" x14ac:dyDescent="0.25">
      <c r="A87" t="s">
        <v>152</v>
      </c>
      <c r="B87" t="s">
        <v>253</v>
      </c>
      <c r="C87" t="s">
        <v>220</v>
      </c>
      <c r="D87" s="1">
        <v>0.49</v>
      </c>
    </row>
    <row r="88" spans="1:6" x14ac:dyDescent="0.25">
      <c r="A88" t="s">
        <v>254</v>
      </c>
      <c r="B88" t="s">
        <v>255</v>
      </c>
      <c r="C88" t="s">
        <v>160</v>
      </c>
      <c r="D88" s="1">
        <v>0.14000000000000001</v>
      </c>
    </row>
    <row r="89" spans="1:6" x14ac:dyDescent="0.25">
      <c r="A89" t="s">
        <v>256</v>
      </c>
      <c r="B89" t="s">
        <v>257</v>
      </c>
      <c r="C89" t="s">
        <v>258</v>
      </c>
      <c r="D89" s="1">
        <v>0.49</v>
      </c>
    </row>
    <row r="90" spans="1:6" x14ac:dyDescent="0.25">
      <c r="A90" t="s">
        <v>259</v>
      </c>
      <c r="B90" t="s">
        <v>41</v>
      </c>
      <c r="C90" t="s">
        <v>170</v>
      </c>
      <c r="D90" s="1">
        <v>0.11</v>
      </c>
    </row>
    <row r="91" spans="1:6" x14ac:dyDescent="0.25">
      <c r="A91" t="s">
        <v>173</v>
      </c>
      <c r="B91" t="s">
        <v>260</v>
      </c>
      <c r="C91" t="s">
        <v>261</v>
      </c>
      <c r="D91" s="1">
        <v>0.49</v>
      </c>
    </row>
    <row r="92" spans="1:6" x14ac:dyDescent="0.25">
      <c r="A92" t="s">
        <v>262</v>
      </c>
      <c r="B92" t="s">
        <v>263</v>
      </c>
      <c r="C92" t="s">
        <v>160</v>
      </c>
      <c r="D92" s="1">
        <v>0.14000000000000001</v>
      </c>
    </row>
    <row r="93" spans="1:6" x14ac:dyDescent="0.25">
      <c r="A93" t="s">
        <v>264</v>
      </c>
      <c r="B93" t="s">
        <v>265</v>
      </c>
      <c r="C93" t="s">
        <v>266</v>
      </c>
      <c r="D93" s="1">
        <v>0.43</v>
      </c>
    </row>
    <row r="94" spans="1:6" x14ac:dyDescent="0.25">
      <c r="A94" t="s">
        <v>267</v>
      </c>
      <c r="B94" t="s">
        <v>268</v>
      </c>
      <c r="C94" t="s">
        <v>269</v>
      </c>
      <c r="D94" s="1">
        <v>0.5</v>
      </c>
    </row>
    <row r="95" spans="1:6" x14ac:dyDescent="0.25">
      <c r="A95" t="s">
        <v>270</v>
      </c>
      <c r="B95" t="s">
        <v>271</v>
      </c>
      <c r="C95" t="s">
        <v>182</v>
      </c>
      <c r="D95" s="1">
        <v>0.48</v>
      </c>
    </row>
    <row r="96" spans="1:6" x14ac:dyDescent="0.25">
      <c r="A96" t="s">
        <v>272</v>
      </c>
      <c r="B96" t="s">
        <v>273</v>
      </c>
      <c r="C96" t="s">
        <v>274</v>
      </c>
      <c r="D96" s="1">
        <v>0.48</v>
      </c>
    </row>
    <row r="97" spans="1:6" x14ac:dyDescent="0.25">
      <c r="A97" t="s">
        <v>275</v>
      </c>
      <c r="B97" t="s">
        <v>224</v>
      </c>
      <c r="C97" t="s">
        <v>160</v>
      </c>
      <c r="D97" s="1">
        <v>0.47</v>
      </c>
    </row>
    <row r="98" spans="1:6" x14ac:dyDescent="0.25">
      <c r="A98" t="s">
        <v>275</v>
      </c>
      <c r="B98" t="s">
        <v>224</v>
      </c>
      <c r="C98" t="s">
        <v>160</v>
      </c>
      <c r="D98" s="1">
        <v>0.47</v>
      </c>
    </row>
    <row r="99" spans="1:6" x14ac:dyDescent="0.25">
      <c r="A99" t="s">
        <v>276</v>
      </c>
      <c r="B99" t="s">
        <v>150</v>
      </c>
      <c r="C99" t="s">
        <v>277</v>
      </c>
      <c r="D99" s="1">
        <v>0.5</v>
      </c>
    </row>
    <row r="100" spans="1:6" x14ac:dyDescent="0.25">
      <c r="A100" t="s">
        <v>278</v>
      </c>
      <c r="B100" t="s">
        <v>279</v>
      </c>
      <c r="C100" t="s">
        <v>159</v>
      </c>
      <c r="D100" s="1">
        <v>0.08</v>
      </c>
    </row>
    <row r="101" spans="1:6" x14ac:dyDescent="0.25">
      <c r="A101" t="s">
        <v>280</v>
      </c>
      <c r="B101" t="s">
        <v>281</v>
      </c>
      <c r="C101" t="s">
        <v>165</v>
      </c>
      <c r="D101" s="1">
        <v>0.02</v>
      </c>
    </row>
    <row r="102" spans="1:6" x14ac:dyDescent="0.25">
      <c r="A102" t="s">
        <v>282</v>
      </c>
      <c r="B102" t="s">
        <v>283</v>
      </c>
      <c r="C102" t="s">
        <v>284</v>
      </c>
      <c r="D102" s="1">
        <v>0.49</v>
      </c>
    </row>
    <row r="103" spans="1:6" x14ac:dyDescent="0.25">
      <c r="A103" t="s">
        <v>285</v>
      </c>
      <c r="B103" t="s">
        <v>286</v>
      </c>
      <c r="C103" t="s">
        <v>65</v>
      </c>
      <c r="D103" s="1">
        <v>0.04</v>
      </c>
    </row>
    <row r="104" spans="1:6" x14ac:dyDescent="0.25">
      <c r="A104" t="s">
        <v>287</v>
      </c>
      <c r="B104" t="s">
        <v>288</v>
      </c>
      <c r="C104" t="s">
        <v>289</v>
      </c>
      <c r="D104" s="1">
        <v>0.49</v>
      </c>
    </row>
    <row r="105" spans="1:6" x14ac:dyDescent="0.25">
      <c r="A105" t="s">
        <v>290</v>
      </c>
      <c r="B105" t="s">
        <v>291</v>
      </c>
      <c r="C105" t="s">
        <v>292</v>
      </c>
      <c r="D105" s="1">
        <v>0.42</v>
      </c>
    </row>
    <row r="106" spans="1:6" x14ac:dyDescent="0.25">
      <c r="A106" t="s">
        <v>293</v>
      </c>
      <c r="B106" t="s">
        <v>294</v>
      </c>
      <c r="C106" t="s">
        <v>295</v>
      </c>
      <c r="D106" s="1">
        <v>0.21</v>
      </c>
      <c r="E106">
        <v>-1</v>
      </c>
      <c r="F106" t="s">
        <v>57</v>
      </c>
    </row>
    <row r="107" spans="1:6" x14ac:dyDescent="0.25">
      <c r="A107" t="s">
        <v>296</v>
      </c>
      <c r="B107" t="s">
        <v>297</v>
      </c>
      <c r="C107" t="s">
        <v>298</v>
      </c>
      <c r="D107" s="1">
        <v>0.41</v>
      </c>
    </row>
    <row r="108" spans="1:6" x14ac:dyDescent="0.25">
      <c r="A108" t="s">
        <v>299</v>
      </c>
      <c r="B108" t="s">
        <v>300</v>
      </c>
      <c r="C108" t="s">
        <v>301</v>
      </c>
      <c r="D108" s="1">
        <v>0.01</v>
      </c>
    </row>
    <row r="109" spans="1:6" x14ac:dyDescent="0.25">
      <c r="A109" t="s">
        <v>302</v>
      </c>
      <c r="B109" t="s">
        <v>303</v>
      </c>
      <c r="C109" t="s">
        <v>304</v>
      </c>
      <c r="D109" s="1">
        <v>0.24</v>
      </c>
    </row>
    <row r="110" spans="1:6" x14ac:dyDescent="0.25">
      <c r="A110" t="s">
        <v>305</v>
      </c>
      <c r="B110" t="s">
        <v>306</v>
      </c>
      <c r="C110" t="s">
        <v>307</v>
      </c>
      <c r="D110" s="1">
        <v>0.34</v>
      </c>
    </row>
    <row r="111" spans="1:6" x14ac:dyDescent="0.25">
      <c r="A111" t="s">
        <v>308</v>
      </c>
      <c r="B111" t="s">
        <v>144</v>
      </c>
      <c r="C111" t="s">
        <v>309</v>
      </c>
      <c r="D111" s="1">
        <v>0.34</v>
      </c>
    </row>
    <row r="112" spans="1:6" x14ac:dyDescent="0.25">
      <c r="A112" t="s">
        <v>310</v>
      </c>
      <c r="B112" t="s">
        <v>311</v>
      </c>
      <c r="C112" t="s">
        <v>160</v>
      </c>
      <c r="D112" s="1">
        <v>0.02</v>
      </c>
    </row>
    <row r="113" spans="1:6" x14ac:dyDescent="0.25">
      <c r="A113" t="s">
        <v>312</v>
      </c>
      <c r="B113" t="s">
        <v>313</v>
      </c>
      <c r="C113" t="s">
        <v>237</v>
      </c>
      <c r="D113" s="1">
        <v>0.02</v>
      </c>
    </row>
    <row r="114" spans="1:6" x14ac:dyDescent="0.25">
      <c r="A114" t="s">
        <v>314</v>
      </c>
      <c r="B114" t="s">
        <v>153</v>
      </c>
      <c r="C114" t="s">
        <v>315</v>
      </c>
      <c r="D114" s="1">
        <v>0.64</v>
      </c>
    </row>
    <row r="115" spans="1:6" x14ac:dyDescent="0.25">
      <c r="A115" t="s">
        <v>316</v>
      </c>
      <c r="B115" t="s">
        <v>240</v>
      </c>
      <c r="C115" t="s">
        <v>170</v>
      </c>
      <c r="D115" s="1">
        <v>0.5</v>
      </c>
      <c r="E115">
        <v>-1</v>
      </c>
      <c r="F115" t="s">
        <v>317</v>
      </c>
    </row>
    <row r="116" spans="1:6" x14ac:dyDescent="0.25">
      <c r="A116" t="s">
        <v>318</v>
      </c>
      <c r="B116" t="s">
        <v>319</v>
      </c>
      <c r="C116" t="s">
        <v>320</v>
      </c>
      <c r="D116" s="1">
        <v>0.47</v>
      </c>
    </row>
  </sheetData>
  <autoFilter ref="A1:F116" xr:uid="{D5C556B4-17FA-4ADA-ABCF-7D2485EA423B}"/>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B8C517-4362-4C50-BC53-D9D2783F0229}">
  <dimension ref="A1:K117"/>
  <sheetViews>
    <sheetView topLeftCell="A72" workbookViewId="0">
      <selection activeCell="A116" sqref="A116"/>
    </sheetView>
  </sheetViews>
  <sheetFormatPr defaultRowHeight="15" x14ac:dyDescent="0.25"/>
  <cols>
    <col min="1" max="1" width="95" style="5" bestFit="1" customWidth="1"/>
    <col min="2" max="2" width="15.5703125" style="14" bestFit="1" customWidth="1"/>
    <col min="3" max="3" width="19.42578125" style="14" bestFit="1" customWidth="1"/>
    <col min="4" max="4" width="11.5703125" style="1" bestFit="1" customWidth="1"/>
    <col min="5" max="5" width="10" style="5" bestFit="1" customWidth="1"/>
    <col min="6" max="6" width="10.42578125" style="9" bestFit="1" customWidth="1"/>
    <col min="7" max="7" width="18.7109375" style="14" customWidth="1"/>
    <col min="8" max="8" width="17.42578125" style="11" customWidth="1"/>
    <col min="9" max="9" width="19.85546875" customWidth="1"/>
    <col min="10" max="10" width="16.28515625" customWidth="1"/>
  </cols>
  <sheetData>
    <row r="1" spans="1:11" ht="15.75" x14ac:dyDescent="0.25">
      <c r="A1" s="4" t="s">
        <v>0</v>
      </c>
      <c r="B1" s="13" t="s">
        <v>1</v>
      </c>
      <c r="C1" s="13" t="s">
        <v>321</v>
      </c>
      <c r="D1" s="3" t="s">
        <v>2</v>
      </c>
      <c r="E1" s="4" t="s">
        <v>3</v>
      </c>
      <c r="F1" s="8" t="s">
        <v>322</v>
      </c>
      <c r="G1" s="15" t="s">
        <v>323</v>
      </c>
      <c r="H1" s="10" t="s">
        <v>324</v>
      </c>
      <c r="I1" s="6" t="s">
        <v>325</v>
      </c>
      <c r="J1" s="6" t="s">
        <v>326</v>
      </c>
      <c r="K1" s="6"/>
    </row>
    <row r="2" spans="1:11" ht="15.75" x14ac:dyDescent="0.25">
      <c r="A2" s="5" t="s">
        <v>314</v>
      </c>
      <c r="B2" s="14">
        <v>199</v>
      </c>
      <c r="C2" s="14">
        <v>553</v>
      </c>
      <c r="D2" s="1">
        <v>0.64</v>
      </c>
      <c r="G2" s="14">
        <f>(C2-B2)</f>
        <v>354</v>
      </c>
      <c r="H2" s="11" t="str">
        <f>IF(F2&lt;3,"Poor",IF(F2&lt;=4.4,"Average","Excellent"))</f>
        <v>Poor</v>
      </c>
      <c r="I2" s="12" t="str">
        <f>IF(D2&lt;20%,"Low Discount",IF(D2&lt;=40%,"Medium Discount","High Discount"))</f>
        <v>High Discount</v>
      </c>
      <c r="J2" t="str">
        <f>IF(B2&lt;1000,"Low Price",IF(B2&lt;=2000,"Medium Price","High Price"))</f>
        <v>Low Price</v>
      </c>
    </row>
    <row r="3" spans="1:11" ht="15.75" x14ac:dyDescent="0.25">
      <c r="A3" s="5" t="s">
        <v>152</v>
      </c>
      <c r="B3" s="14">
        <v>199</v>
      </c>
      <c r="C3" s="14">
        <v>504</v>
      </c>
      <c r="D3" s="1">
        <v>0.61</v>
      </c>
      <c r="G3" s="14">
        <f>(C3-B3)</f>
        <v>305</v>
      </c>
      <c r="H3" s="11" t="str">
        <f>IF(F3&lt;3,"Poor",IF(F3&lt;=4.4,"Average","Excellent"))</f>
        <v>Poor</v>
      </c>
      <c r="I3" s="12" t="str">
        <f>IF(D3&lt;20%,"Low Discount",IF(D3&lt;=40%,"Medium Discount","High Discount"))</f>
        <v>High Discount</v>
      </c>
      <c r="J3" t="str">
        <f>IF(B3&lt;1000,"Low Price",IF(B3&lt;=2000,"Medium Price","High Price"))</f>
        <v>Low Price</v>
      </c>
    </row>
    <row r="4" spans="1:11" ht="15.75" x14ac:dyDescent="0.25">
      <c r="A4" s="5" t="s">
        <v>188</v>
      </c>
      <c r="B4" s="14">
        <v>2115</v>
      </c>
      <c r="C4" s="14">
        <v>4700</v>
      </c>
      <c r="D4" s="1">
        <v>0.55000000000000004</v>
      </c>
      <c r="E4" s="5">
        <v>13</v>
      </c>
      <c r="F4" s="9">
        <v>2.1</v>
      </c>
      <c r="G4" s="14">
        <f>(C4-B4)</f>
        <v>2585</v>
      </c>
      <c r="H4" s="11" t="str">
        <f>IF(F4&lt;3,"Poor",IF(F4&lt;=4.4,"Average","Excellent"))</f>
        <v>Poor</v>
      </c>
      <c r="I4" s="12" t="str">
        <f>IF(D4&lt;20%,"Low Discount",IF(D4&lt;=40%,"Medium Discount","High Discount"))</f>
        <v>High Discount</v>
      </c>
      <c r="J4" t="str">
        <f>IF(B4&lt;1000,"Low Price",IF(B4&lt;=2000,"Medium Price","High Price"))</f>
        <v>High Price</v>
      </c>
    </row>
    <row r="5" spans="1:11" ht="15.75" x14ac:dyDescent="0.25">
      <c r="A5" s="5" t="s">
        <v>33</v>
      </c>
      <c r="B5" s="14">
        <v>1274</v>
      </c>
      <c r="C5" s="14">
        <v>2800</v>
      </c>
      <c r="D5" s="1">
        <v>0.55000000000000004</v>
      </c>
      <c r="E5" s="5">
        <v>5</v>
      </c>
      <c r="F5" s="9">
        <v>4.8</v>
      </c>
      <c r="G5" s="14">
        <f>(C5-B5)</f>
        <v>1526</v>
      </c>
      <c r="H5" s="11" t="str">
        <f>IF(F5&lt;3,"Poor",IF(F5&lt;=4.4,"Average","Excellent"))</f>
        <v>Excellent</v>
      </c>
      <c r="I5" s="12" t="str">
        <f>IF(D5&lt;20%,"Low Discount",IF(D5&lt;=40%,"Medium Discount","High Discount"))</f>
        <v>High Discount</v>
      </c>
      <c r="J5" t="str">
        <f>IF(B5&lt;1000,"Low Price",IF(B5&lt;=2000,"Medium Price","High Price"))</f>
        <v>Medium Price</v>
      </c>
    </row>
    <row r="6" spans="1:11" ht="15.75" x14ac:dyDescent="0.25">
      <c r="A6" s="5" t="s">
        <v>168</v>
      </c>
      <c r="B6" s="14">
        <v>399</v>
      </c>
      <c r="C6" s="14">
        <v>896</v>
      </c>
      <c r="D6" s="1">
        <v>0.55000000000000004</v>
      </c>
      <c r="G6" s="14">
        <f>(C6-B6)</f>
        <v>497</v>
      </c>
      <c r="H6" s="11" t="str">
        <f>IF(F6&lt;3,"Poor",IF(F6&lt;=4.4,"Average","Excellent"))</f>
        <v>Poor</v>
      </c>
      <c r="I6" s="12" t="str">
        <f>IF(D6&lt;20%,"Low Discount",IF(D6&lt;=40%,"Medium Discount","High Discount"))</f>
        <v>High Discount</v>
      </c>
      <c r="J6" t="str">
        <f>IF(B6&lt;1000,"Low Price",IF(B6&lt;=2000,"Medium Price","High Price"))</f>
        <v>Low Price</v>
      </c>
    </row>
    <row r="7" spans="1:11" ht="15.75" x14ac:dyDescent="0.25">
      <c r="A7" s="5" t="s">
        <v>184</v>
      </c>
      <c r="B7" s="14">
        <v>458</v>
      </c>
      <c r="C7" s="14">
        <v>986</v>
      </c>
      <c r="D7" s="1">
        <v>0.54</v>
      </c>
      <c r="E7" s="5">
        <v>10</v>
      </c>
      <c r="F7" s="9">
        <v>3</v>
      </c>
      <c r="G7" s="14">
        <f>(C7-B7)</f>
        <v>528</v>
      </c>
      <c r="H7" s="11" t="str">
        <f>IF(F7&lt;3,"Poor",IF(F7&lt;=4.4,"Average","Excellent"))</f>
        <v>Average</v>
      </c>
      <c r="I7" s="12" t="str">
        <f>IF(D7&lt;20%,"Low Discount",IF(D7&lt;=40%,"Medium Discount","High Discount"))</f>
        <v>High Discount</v>
      </c>
      <c r="J7" t="str">
        <f>IF(B7&lt;1000,"Low Price",IF(B7&lt;=2000,"Medium Price","High Price"))</f>
        <v>Low Price</v>
      </c>
    </row>
    <row r="8" spans="1:11" ht="15.75" x14ac:dyDescent="0.25">
      <c r="A8" s="5" t="s">
        <v>83</v>
      </c>
      <c r="B8" s="14">
        <v>2048</v>
      </c>
      <c r="C8" s="14">
        <v>4500</v>
      </c>
      <c r="D8" s="1">
        <v>0.54</v>
      </c>
      <c r="E8" s="5">
        <v>7</v>
      </c>
      <c r="F8" s="9">
        <v>4.3</v>
      </c>
      <c r="G8" s="14">
        <f>(C8-B8)</f>
        <v>2452</v>
      </c>
      <c r="H8" s="11" t="str">
        <f>IF(F8&lt;3,"Poor",IF(F8&lt;=4.4,"Average","Excellent"))</f>
        <v>Average</v>
      </c>
      <c r="I8" s="12" t="str">
        <f>IF(D8&lt;20%,"Low Discount",IF(D8&lt;=40%,"Medium Discount","High Discount"))</f>
        <v>High Discount</v>
      </c>
      <c r="J8" t="str">
        <f>IF(B8&lt;1000,"Low Price",IF(B8&lt;=2000,"Medium Price","High Price"))</f>
        <v>High Price</v>
      </c>
    </row>
    <row r="9" spans="1:11" ht="15.75" x14ac:dyDescent="0.25">
      <c r="A9" s="5" t="s">
        <v>69</v>
      </c>
      <c r="B9" s="14">
        <v>38</v>
      </c>
      <c r="C9" s="14">
        <v>80</v>
      </c>
      <c r="D9" s="1">
        <v>0.53</v>
      </c>
      <c r="E9" s="5">
        <v>13</v>
      </c>
      <c r="F9" s="9">
        <v>3.3</v>
      </c>
      <c r="G9" s="14">
        <f>(C9-B9)</f>
        <v>42</v>
      </c>
      <c r="H9" s="11" t="str">
        <f>IF(F9&lt;3,"Poor",IF(F9&lt;=4.4,"Average","Excellent"))</f>
        <v>Average</v>
      </c>
      <c r="I9" s="12" t="str">
        <f>IF(D9&lt;20%,"Low Discount",IF(D9&lt;=40%,"Medium Discount","High Discount"))</f>
        <v>High Discount</v>
      </c>
      <c r="J9" t="str">
        <f>IF(B9&lt;1000,"Low Price",IF(B9&lt;=2000,"Medium Price","High Price"))</f>
        <v>Low Price</v>
      </c>
    </row>
    <row r="10" spans="1:11" ht="15.75" x14ac:dyDescent="0.25">
      <c r="A10" s="5" t="s">
        <v>118</v>
      </c>
      <c r="B10" s="14">
        <v>171</v>
      </c>
      <c r="C10" s="14">
        <v>360</v>
      </c>
      <c r="D10" s="1">
        <v>0.53</v>
      </c>
      <c r="E10" s="5">
        <v>2</v>
      </c>
      <c r="F10" s="9">
        <v>5</v>
      </c>
      <c r="G10" s="14">
        <f>(C10-B10)</f>
        <v>189</v>
      </c>
      <c r="H10" s="11" t="str">
        <f>IF(F10&lt;3,"Poor",IF(F10&lt;=4.4,"Average","Excellent"))</f>
        <v>Excellent</v>
      </c>
      <c r="I10" s="12" t="str">
        <f>IF(D10&lt;20%,"Low Discount",IF(D10&lt;=40%,"Medium Discount","High Discount"))</f>
        <v>High Discount</v>
      </c>
      <c r="J10" t="str">
        <f>IF(B10&lt;1000,"Low Price",IF(B10&lt;=2000,"Medium Price","High Price"))</f>
        <v>Low Price</v>
      </c>
    </row>
    <row r="11" spans="1:11" ht="15.75" x14ac:dyDescent="0.25">
      <c r="A11" s="5" t="s">
        <v>196</v>
      </c>
      <c r="B11" s="14">
        <v>325</v>
      </c>
      <c r="C11" s="14">
        <v>680</v>
      </c>
      <c r="D11" s="1">
        <v>0.52</v>
      </c>
      <c r="E11" s="5">
        <v>15</v>
      </c>
      <c r="F11" s="9">
        <v>2.7</v>
      </c>
      <c r="G11" s="14">
        <f>(C11-B11)</f>
        <v>355</v>
      </c>
      <c r="H11" s="11" t="str">
        <f>IF(F11&lt;3,"Poor",IF(F11&lt;=4.4,"Average","Excellent"))</f>
        <v>Poor</v>
      </c>
      <c r="I11" s="12" t="str">
        <f>IF(D11&lt;20%,"Low Discount",IF(D11&lt;=40%,"Medium Discount","High Discount"))</f>
        <v>High Discount</v>
      </c>
      <c r="J11" t="str">
        <f>IF(B11&lt;1000,"Low Price",IF(B11&lt;=2000,"Medium Price","High Price"))</f>
        <v>Low Price</v>
      </c>
    </row>
    <row r="12" spans="1:11" ht="15.75" x14ac:dyDescent="0.25">
      <c r="A12" s="5" t="s">
        <v>100</v>
      </c>
      <c r="B12" s="14">
        <v>185</v>
      </c>
      <c r="C12" s="14">
        <v>382</v>
      </c>
      <c r="D12" s="1">
        <v>0.52</v>
      </c>
      <c r="E12" s="5">
        <v>9</v>
      </c>
      <c r="F12" s="9">
        <v>4.3</v>
      </c>
      <c r="G12" s="14">
        <f>(C12-B12)</f>
        <v>197</v>
      </c>
      <c r="H12" s="11" t="str">
        <f>IF(F12&lt;3,"Poor",IF(F12&lt;=4.4,"Average","Excellent"))</f>
        <v>Average</v>
      </c>
      <c r="I12" s="12" t="str">
        <f>IF(D12&lt;20%,"Low Discount",IF(D12&lt;=40%,"Medium Discount","High Discount"))</f>
        <v>High Discount</v>
      </c>
      <c r="J12" t="str">
        <f>IF(B12&lt;1000,"Low Price",IF(B12&lt;=2000,"Medium Price","High Price"))</f>
        <v>Low Price</v>
      </c>
    </row>
    <row r="13" spans="1:11" ht="15.75" x14ac:dyDescent="0.25">
      <c r="A13" s="5" t="s">
        <v>54</v>
      </c>
      <c r="B13" s="14">
        <v>332</v>
      </c>
      <c r="C13" s="14">
        <v>684</v>
      </c>
      <c r="D13" s="1">
        <v>0.51</v>
      </c>
      <c r="E13" s="5">
        <v>2</v>
      </c>
      <c r="F13" s="9">
        <v>5</v>
      </c>
      <c r="G13" s="14">
        <f>(C13-B13)</f>
        <v>352</v>
      </c>
      <c r="H13" s="11" t="str">
        <f>IF(F13&lt;3,"Poor",IF(F13&lt;=4.4,"Average","Excellent"))</f>
        <v>Excellent</v>
      </c>
      <c r="I13" s="12" t="str">
        <f>IF(D13&lt;20%,"Low Discount",IF(D13&lt;=40%,"Medium Discount","High Discount"))</f>
        <v>High Discount</v>
      </c>
      <c r="J13" t="str">
        <f>IF(B13&lt;1000,"Low Price",IF(B13&lt;=2000,"Medium Price","High Price"))</f>
        <v>Low Price</v>
      </c>
    </row>
    <row r="14" spans="1:11" ht="15.75" x14ac:dyDescent="0.25">
      <c r="A14" s="5" t="s">
        <v>207</v>
      </c>
      <c r="B14" s="14">
        <v>1000</v>
      </c>
      <c r="C14" s="14">
        <v>2000</v>
      </c>
      <c r="D14" s="1">
        <v>0.5</v>
      </c>
      <c r="E14" s="5">
        <v>7</v>
      </c>
      <c r="F14" s="9">
        <v>2.2999999999999998</v>
      </c>
      <c r="G14" s="14">
        <f>(C14-B14)</f>
        <v>1000</v>
      </c>
      <c r="H14" s="11" t="str">
        <f>IF(F14&lt;3,"Poor",IF(F14&lt;=4.4,"Average","Excellent"))</f>
        <v>Poor</v>
      </c>
      <c r="I14" s="12" t="str">
        <f>IF(D14&lt;20%,"Low Discount",IF(D14&lt;=40%,"Medium Discount","High Discount"))</f>
        <v>High Discount</v>
      </c>
      <c r="J14" t="str">
        <f>IF(B14&lt;1000,"Low Price",IF(B14&lt;=2000,"Medium Price","High Price"))</f>
        <v>Medium Price</v>
      </c>
    </row>
    <row r="15" spans="1:11" ht="15.75" x14ac:dyDescent="0.25">
      <c r="A15" s="5" t="s">
        <v>316</v>
      </c>
      <c r="B15" s="14">
        <v>450</v>
      </c>
      <c r="C15" s="14">
        <v>900</v>
      </c>
      <c r="D15" s="1">
        <v>0.5</v>
      </c>
      <c r="E15" s="5">
        <v>1</v>
      </c>
      <c r="F15" s="9">
        <v>2</v>
      </c>
      <c r="G15" s="14">
        <f>(C15-B15)</f>
        <v>450</v>
      </c>
      <c r="H15" s="11" t="str">
        <f>IF(F15&lt;3,"Poor",IF(F15&lt;=4.4,"Average","Excellent"))</f>
        <v>Poor</v>
      </c>
      <c r="I15" s="12" t="str">
        <f>IF(D15&lt;20%,"Low Discount",IF(D15&lt;=40%,"Medium Discount","High Discount"))</f>
        <v>High Discount</v>
      </c>
      <c r="J15" t="str">
        <f>IF(B15&lt;1000,"Low Price",IF(B15&lt;=2000,"Medium Price","High Price"))</f>
        <v>Low Price</v>
      </c>
    </row>
    <row r="16" spans="1:11" ht="15.75" x14ac:dyDescent="0.25">
      <c r="A16" s="5" t="s">
        <v>132</v>
      </c>
      <c r="B16" s="14">
        <v>238</v>
      </c>
      <c r="C16" s="14">
        <v>476</v>
      </c>
      <c r="D16" s="1">
        <v>0.5</v>
      </c>
      <c r="G16" s="14">
        <f>(C16-B16)</f>
        <v>238</v>
      </c>
      <c r="H16" s="11" t="str">
        <f>IF(F16&lt;3,"Poor",IF(F16&lt;=4.4,"Average","Excellent"))</f>
        <v>Poor</v>
      </c>
      <c r="I16" s="12" t="str">
        <f>IF(D16&lt;20%,"Low Discount",IF(D16&lt;=40%,"Medium Discount","High Discount"))</f>
        <v>High Discount</v>
      </c>
      <c r="J16" t="str">
        <f>IF(B16&lt;1000,"Low Price",IF(B16&lt;=2000,"Medium Price","High Price"))</f>
        <v>Low Price</v>
      </c>
    </row>
    <row r="17" spans="1:10" ht="15.75" x14ac:dyDescent="0.25">
      <c r="A17" s="5" t="s">
        <v>155</v>
      </c>
      <c r="B17" s="14">
        <v>299</v>
      </c>
      <c r="C17" s="14">
        <v>600</v>
      </c>
      <c r="D17" s="1">
        <v>0.5</v>
      </c>
      <c r="G17" s="14">
        <f>(C17-B17)</f>
        <v>301</v>
      </c>
      <c r="H17" s="11" t="str">
        <f>IF(F17&lt;3,"Poor",IF(F17&lt;=4.4,"Average","Excellent"))</f>
        <v>Poor</v>
      </c>
      <c r="I17" s="12" t="str">
        <f>IF(D17&lt;20%,"Low Discount",IF(D17&lt;=40%,"Medium Discount","High Discount"))</f>
        <v>High Discount</v>
      </c>
      <c r="J17" t="str">
        <f>IF(B17&lt;1000,"Low Price",IF(B17&lt;=2000,"Medium Price","High Price"))</f>
        <v>Low Price</v>
      </c>
    </row>
    <row r="18" spans="1:10" ht="15.75" x14ac:dyDescent="0.25">
      <c r="A18" s="5" t="s">
        <v>267</v>
      </c>
      <c r="B18" s="14">
        <v>850</v>
      </c>
      <c r="C18" s="14">
        <v>1700</v>
      </c>
      <c r="D18" s="1">
        <v>0.5</v>
      </c>
      <c r="G18" s="14">
        <f>(C18-B18)</f>
        <v>850</v>
      </c>
      <c r="H18" s="11" t="str">
        <f>IF(F18&lt;3,"Poor",IF(F18&lt;=4.4,"Average","Excellent"))</f>
        <v>Poor</v>
      </c>
      <c r="I18" s="12" t="str">
        <f>IF(D18&lt;20%,"Low Discount",IF(D18&lt;=40%,"Medium Discount","High Discount"))</f>
        <v>High Discount</v>
      </c>
      <c r="J18" t="str">
        <f>IF(B18&lt;1000,"Low Price",IF(B18&lt;=2000,"Medium Price","High Price"))</f>
        <v>Low Price</v>
      </c>
    </row>
    <row r="19" spans="1:10" ht="15.75" x14ac:dyDescent="0.25">
      <c r="A19" s="5" t="s">
        <v>141</v>
      </c>
      <c r="B19" s="14">
        <v>999</v>
      </c>
      <c r="C19" s="14">
        <v>2000</v>
      </c>
      <c r="D19" s="1">
        <v>0.5</v>
      </c>
      <c r="G19" s="14">
        <f>(C19-B19)</f>
        <v>1001</v>
      </c>
      <c r="H19" s="11" t="str">
        <f>IF(F19&lt;3,"Poor",IF(F19&lt;=4.4,"Average","Excellent"))</f>
        <v>Poor</v>
      </c>
      <c r="I19" s="12" t="str">
        <f>IF(D19&lt;20%,"Low Discount",IF(D19&lt;=40%,"Medium Discount","High Discount"))</f>
        <v>High Discount</v>
      </c>
      <c r="J19" t="str">
        <f>IF(B19&lt;1000,"Low Price",IF(B19&lt;=2000,"Medium Price","High Price"))</f>
        <v>Low Price</v>
      </c>
    </row>
    <row r="20" spans="1:10" ht="15.75" x14ac:dyDescent="0.25">
      <c r="A20" s="5" t="s">
        <v>276</v>
      </c>
      <c r="B20" s="14">
        <v>1200</v>
      </c>
      <c r="C20" s="14">
        <v>2400</v>
      </c>
      <c r="D20" s="1">
        <v>0.5</v>
      </c>
      <c r="G20" s="14">
        <f>(C20-B20)</f>
        <v>1200</v>
      </c>
      <c r="H20" s="11" t="str">
        <f>IF(F20&lt;3,"Poor",IF(F20&lt;=4.4,"Average","Excellent"))</f>
        <v>Poor</v>
      </c>
      <c r="I20" s="12" t="str">
        <f>IF(D20&lt;20%,"Low Discount",IF(D20&lt;=40%,"Medium Discount","High Discount"))</f>
        <v>High Discount</v>
      </c>
      <c r="J20" t="str">
        <f>IF(B20&lt;1000,"Low Price",IF(B20&lt;=2000,"Medium Price","High Price"))</f>
        <v>Medium Price</v>
      </c>
    </row>
    <row r="21" spans="1:10" ht="15.75" x14ac:dyDescent="0.25">
      <c r="A21" s="5" t="s">
        <v>192</v>
      </c>
      <c r="B21" s="14">
        <v>445</v>
      </c>
      <c r="C21" s="14">
        <v>873</v>
      </c>
      <c r="D21" s="1">
        <v>0.49</v>
      </c>
      <c r="E21" s="5">
        <v>69</v>
      </c>
      <c r="F21" s="9">
        <v>2.8</v>
      </c>
      <c r="G21" s="14">
        <f>(C21-B21)</f>
        <v>428</v>
      </c>
      <c r="H21" s="11" t="str">
        <f>IF(F21&lt;3,"Poor",IF(F21&lt;=4.4,"Average","Excellent"))</f>
        <v>Poor</v>
      </c>
      <c r="I21" s="12" t="str">
        <f>IF(D21&lt;20%,"Low Discount",IF(D21&lt;=40%,"Medium Discount","High Discount"))</f>
        <v>High Discount</v>
      </c>
      <c r="J21" t="str">
        <f>IF(B21&lt;1000,"Low Price",IF(B21&lt;=2000,"Medium Price","High Price"))</f>
        <v>Low Price</v>
      </c>
    </row>
    <row r="22" spans="1:10" ht="15.75" x14ac:dyDescent="0.25">
      <c r="A22" s="5" t="s">
        <v>66</v>
      </c>
      <c r="B22" s="14">
        <v>998</v>
      </c>
      <c r="C22" s="14">
        <v>1966</v>
      </c>
      <c r="D22" s="1">
        <v>0.49</v>
      </c>
      <c r="E22" s="5">
        <v>44</v>
      </c>
      <c r="F22" s="9">
        <v>4.5999999999999996</v>
      </c>
      <c r="G22" s="14">
        <f>(C22-B22)</f>
        <v>968</v>
      </c>
      <c r="H22" s="11" t="str">
        <f>IF(F22&lt;3,"Poor",IF(F22&lt;=4.4,"Average","Excellent"))</f>
        <v>Excellent</v>
      </c>
      <c r="I22" s="12" t="str">
        <f>IF(D22&lt;20%,"Low Discount",IF(D22&lt;=40%,"Medium Discount","High Discount"))</f>
        <v>High Discount</v>
      </c>
      <c r="J22" t="str">
        <f>IF(B22&lt;1000,"Low Price",IF(B22&lt;=2000,"Medium Price","High Price"))</f>
        <v>Low Price</v>
      </c>
    </row>
    <row r="23" spans="1:10" ht="15.75" x14ac:dyDescent="0.25">
      <c r="A23" s="5" t="s">
        <v>61</v>
      </c>
      <c r="B23" s="14">
        <v>2025</v>
      </c>
      <c r="C23" s="14">
        <v>3971</v>
      </c>
      <c r="D23" s="1">
        <v>0.49</v>
      </c>
      <c r="E23" s="5">
        <v>3</v>
      </c>
      <c r="F23" s="9">
        <v>5</v>
      </c>
      <c r="G23" s="14">
        <f>(C23-B23)</f>
        <v>1946</v>
      </c>
      <c r="H23" s="11" t="str">
        <f>IF(F23&lt;3,"Poor",IF(F23&lt;=4.4,"Average","Excellent"))</f>
        <v>Excellent</v>
      </c>
      <c r="I23" s="12" t="str">
        <f>IF(D23&lt;20%,"Low Discount",IF(D23&lt;=40%,"Medium Discount","High Discount"))</f>
        <v>High Discount</v>
      </c>
      <c r="J23" t="str">
        <f>IF(B23&lt;1000,"Low Price",IF(B23&lt;=2000,"Medium Price","High Price"))</f>
        <v>High Price</v>
      </c>
    </row>
    <row r="24" spans="1:10" ht="15.75" x14ac:dyDescent="0.25">
      <c r="A24" s="5" t="s">
        <v>251</v>
      </c>
      <c r="B24" s="14">
        <v>330</v>
      </c>
      <c r="C24" s="14">
        <v>647</v>
      </c>
      <c r="D24" s="1">
        <v>0.49</v>
      </c>
      <c r="E24" s="5">
        <v>1</v>
      </c>
      <c r="F24" s="9">
        <v>4</v>
      </c>
      <c r="G24" s="14">
        <f>(C24-B24)</f>
        <v>317</v>
      </c>
      <c r="H24" s="11" t="str">
        <f>IF(F24&lt;3,"Poor",IF(F24&lt;=4.4,"Average","Excellent"))</f>
        <v>Average</v>
      </c>
      <c r="I24" s="12" t="str">
        <f>IF(D24&lt;20%,"Low Discount",IF(D24&lt;=40%,"Medium Discount","High Discount"))</f>
        <v>High Discount</v>
      </c>
      <c r="J24" t="str">
        <f>IF(B24&lt;1000,"Low Price",IF(B24&lt;=2000,"Medium Price","High Price"))</f>
        <v>Low Price</v>
      </c>
    </row>
    <row r="25" spans="1:10" ht="15.75" x14ac:dyDescent="0.25">
      <c r="A25" s="5" t="s">
        <v>243</v>
      </c>
      <c r="B25" s="14">
        <v>979</v>
      </c>
      <c r="C25" s="14">
        <v>1920</v>
      </c>
      <c r="D25" s="1">
        <v>0.49</v>
      </c>
      <c r="E25" s="5">
        <v>1</v>
      </c>
      <c r="F25" s="9">
        <v>5</v>
      </c>
      <c r="G25" s="14">
        <f>(C25-B25)</f>
        <v>941</v>
      </c>
      <c r="H25" s="11" t="str">
        <f>IF(F25&lt;3,"Poor",IF(F25&lt;=4.4,"Average","Excellent"))</f>
        <v>Excellent</v>
      </c>
      <c r="I25" s="12" t="str">
        <f>IF(D25&lt;20%,"Low Discount",IF(D25&lt;=40%,"Medium Discount","High Discount"))</f>
        <v>High Discount</v>
      </c>
      <c r="J25" t="str">
        <f>IF(B25&lt;1000,"Low Price",IF(B25&lt;=2000,"Medium Price","High Price"))</f>
        <v>Low Price</v>
      </c>
    </row>
    <row r="26" spans="1:10" ht="15.75" x14ac:dyDescent="0.25">
      <c r="A26" s="5" t="s">
        <v>152</v>
      </c>
      <c r="B26" s="14">
        <v>176</v>
      </c>
      <c r="C26" s="14">
        <v>345</v>
      </c>
      <c r="D26" s="1">
        <v>0.49</v>
      </c>
      <c r="G26" s="14">
        <f>(C26-B26)</f>
        <v>169</v>
      </c>
      <c r="H26" s="11" t="str">
        <f>IF(F26&lt;3,"Poor",IF(F26&lt;=4.4,"Average","Excellent"))</f>
        <v>Poor</v>
      </c>
      <c r="I26" s="12" t="str">
        <f>IF(D26&lt;20%,"Low Discount",IF(D26&lt;=40%,"Medium Discount","High Discount"))</f>
        <v>High Discount</v>
      </c>
      <c r="J26" t="str">
        <f>IF(B26&lt;1000,"Low Price",IF(B26&lt;=2000,"Medium Price","High Price"))</f>
        <v>Low Price</v>
      </c>
    </row>
    <row r="27" spans="1:10" ht="15.75" x14ac:dyDescent="0.25">
      <c r="A27" s="5" t="s">
        <v>238</v>
      </c>
      <c r="B27" s="14">
        <v>230</v>
      </c>
      <c r="C27" s="14">
        <v>450</v>
      </c>
      <c r="D27" s="1">
        <v>0.49</v>
      </c>
      <c r="G27" s="14">
        <f>(C27-B27)</f>
        <v>220</v>
      </c>
      <c r="H27" s="11" t="str">
        <f>IF(F27&lt;3,"Poor",IF(F27&lt;=4.4,"Average","Excellent"))</f>
        <v>Poor</v>
      </c>
      <c r="I27" s="12" t="str">
        <f>IF(D27&lt;20%,"Low Discount",IF(D27&lt;=40%,"Medium Discount","High Discount"))</f>
        <v>High Discount</v>
      </c>
      <c r="J27" t="str">
        <f>IF(B27&lt;1000,"Low Price",IF(B27&lt;=2000,"Medium Price","High Price"))</f>
        <v>Low Price</v>
      </c>
    </row>
    <row r="28" spans="1:10" ht="15.75" x14ac:dyDescent="0.25">
      <c r="A28" s="5" t="s">
        <v>282</v>
      </c>
      <c r="B28" s="14">
        <v>248</v>
      </c>
      <c r="C28" s="14">
        <v>486</v>
      </c>
      <c r="D28" s="1">
        <v>0.49</v>
      </c>
      <c r="G28" s="14">
        <f>(C28-B28)</f>
        <v>238</v>
      </c>
      <c r="H28" s="11" t="str">
        <f>IF(F28&lt;3,"Poor",IF(F28&lt;=4.4,"Average","Excellent"))</f>
        <v>Poor</v>
      </c>
      <c r="I28" s="12" t="str">
        <f>IF(D28&lt;20%,"Low Discount",IF(D28&lt;=40%,"Medium Discount","High Discount"))</f>
        <v>High Discount</v>
      </c>
      <c r="J28" t="str">
        <f>IF(B28&lt;1000,"Low Price",IF(B28&lt;=2000,"Medium Price","High Price"))</f>
        <v>Low Price</v>
      </c>
    </row>
    <row r="29" spans="1:10" ht="15.75" x14ac:dyDescent="0.25">
      <c r="A29" s="5" t="s">
        <v>256</v>
      </c>
      <c r="B29" s="14">
        <v>274</v>
      </c>
      <c r="C29" s="14">
        <v>537</v>
      </c>
      <c r="D29" s="1">
        <v>0.49</v>
      </c>
      <c r="G29" s="14">
        <f>(C29-B29)</f>
        <v>263</v>
      </c>
      <c r="H29" s="11" t="str">
        <f>IF(F29&lt;3,"Poor",IF(F29&lt;=4.4,"Average","Excellent"))</f>
        <v>Poor</v>
      </c>
      <c r="I29" s="12" t="str">
        <f>IF(D29&lt;20%,"Low Discount",IF(D29&lt;=40%,"Medium Discount","High Discount"))</f>
        <v>High Discount</v>
      </c>
      <c r="J29" t="str">
        <f>IF(B29&lt;1000,"Low Price",IF(B29&lt;=2000,"Medium Price","High Price"))</f>
        <v>Low Price</v>
      </c>
    </row>
    <row r="30" spans="1:10" ht="15.75" x14ac:dyDescent="0.25">
      <c r="A30" s="5" t="s">
        <v>129</v>
      </c>
      <c r="B30" s="14">
        <v>475</v>
      </c>
      <c r="C30" s="14">
        <v>931</v>
      </c>
      <c r="D30" s="1">
        <v>0.49</v>
      </c>
      <c r="G30" s="14">
        <f>(C30-B30)</f>
        <v>456</v>
      </c>
      <c r="H30" s="11" t="str">
        <f>IF(F30&lt;3,"Poor",IF(F30&lt;=4.4,"Average","Excellent"))</f>
        <v>Poor</v>
      </c>
      <c r="I30" s="12" t="str">
        <f>IF(D30&lt;20%,"Low Discount",IF(D30&lt;=40%,"Medium Discount","High Discount"))</f>
        <v>High Discount</v>
      </c>
      <c r="J30" t="str">
        <f>IF(B30&lt;1000,"Low Price",IF(B30&lt;=2000,"Medium Price","High Price"))</f>
        <v>Low Price</v>
      </c>
    </row>
    <row r="31" spans="1:10" ht="15.75" x14ac:dyDescent="0.25">
      <c r="A31" s="5" t="s">
        <v>287</v>
      </c>
      <c r="B31" s="14">
        <v>525</v>
      </c>
      <c r="C31" s="14">
        <v>1029</v>
      </c>
      <c r="D31" s="1">
        <v>0.49</v>
      </c>
      <c r="G31" s="14">
        <f>(C31-B31)</f>
        <v>504</v>
      </c>
      <c r="H31" s="11" t="str">
        <f>IF(F31&lt;3,"Poor",IF(F31&lt;=4.4,"Average","Excellent"))</f>
        <v>Poor</v>
      </c>
      <c r="I31" s="12" t="str">
        <f>IF(D31&lt;20%,"Low Discount",IF(D31&lt;=40%,"Medium Discount","High Discount"))</f>
        <v>High Discount</v>
      </c>
      <c r="J31" t="str">
        <f>IF(B31&lt;1000,"Low Price",IF(B31&lt;=2000,"Medium Price","High Price"))</f>
        <v>Low Price</v>
      </c>
    </row>
    <row r="32" spans="1:10" ht="15.75" x14ac:dyDescent="0.25">
      <c r="A32" s="5" t="s">
        <v>173</v>
      </c>
      <c r="B32" s="14">
        <v>657</v>
      </c>
      <c r="C32" s="14">
        <v>1288</v>
      </c>
      <c r="D32" s="1">
        <v>0.49</v>
      </c>
      <c r="G32" s="14">
        <f>(C32-B32)</f>
        <v>631</v>
      </c>
      <c r="H32" s="11" t="str">
        <f>IF(F32&lt;3,"Poor",IF(F32&lt;=4.4,"Average","Excellent"))</f>
        <v>Poor</v>
      </c>
      <c r="I32" s="12" t="str">
        <f>IF(D32&lt;20%,"Low Discount",IF(D32&lt;=40%,"Medium Discount","High Discount"))</f>
        <v>High Discount</v>
      </c>
      <c r="J32" t="str">
        <f>IF(B32&lt;1000,"Low Price",IF(B32&lt;=2000,"Medium Price","High Price"))</f>
        <v>Low Price</v>
      </c>
    </row>
    <row r="33" spans="1:10" ht="15.75" x14ac:dyDescent="0.25">
      <c r="A33" s="5" t="s">
        <v>146</v>
      </c>
      <c r="B33" s="14">
        <v>671</v>
      </c>
      <c r="C33" s="14">
        <v>1316</v>
      </c>
      <c r="D33" s="1">
        <v>0.49</v>
      </c>
      <c r="G33" s="14">
        <f>(C33-B33)</f>
        <v>645</v>
      </c>
      <c r="H33" s="11" t="str">
        <f>IF(F33&lt;3,"Poor",IF(F33&lt;=4.4,"Average","Excellent"))</f>
        <v>Poor</v>
      </c>
      <c r="I33" s="12" t="str">
        <f>IF(D33&lt;20%,"Low Discount",IF(D33&lt;=40%,"Medium Discount","High Discount"))</f>
        <v>High Discount</v>
      </c>
      <c r="J33" t="str">
        <f>IF(B33&lt;1000,"Low Price",IF(B33&lt;=2000,"Medium Price","High Price"))</f>
        <v>Low Price</v>
      </c>
    </row>
    <row r="34" spans="1:10" ht="15.75" x14ac:dyDescent="0.25">
      <c r="A34" s="5" t="s">
        <v>173</v>
      </c>
      <c r="B34" s="14">
        <v>799</v>
      </c>
      <c r="C34" s="14">
        <v>1567</v>
      </c>
      <c r="D34" s="1">
        <v>0.49</v>
      </c>
      <c r="G34" s="14">
        <f>(C34-B34)</f>
        <v>768</v>
      </c>
      <c r="H34" s="11" t="str">
        <f>IF(F34&lt;3,"Poor",IF(F34&lt;=4.4,"Average","Excellent"))</f>
        <v>Poor</v>
      </c>
      <c r="I34" s="12" t="str">
        <f>IF(D34&lt;20%,"Low Discount",IF(D34&lt;=40%,"Medium Discount","High Discount"))</f>
        <v>High Discount</v>
      </c>
      <c r="J34" t="str">
        <f>IF(B34&lt;1000,"Low Price",IF(B34&lt;=2000,"Medium Price","High Price"))</f>
        <v>Low Price</v>
      </c>
    </row>
    <row r="35" spans="1:10" ht="15.75" x14ac:dyDescent="0.25">
      <c r="A35" s="5" t="s">
        <v>106</v>
      </c>
      <c r="B35" s="14">
        <v>1820</v>
      </c>
      <c r="C35" s="14">
        <v>3490</v>
      </c>
      <c r="D35" s="1">
        <v>0.48</v>
      </c>
      <c r="E35" s="5">
        <v>9</v>
      </c>
      <c r="F35" s="9">
        <v>4.3</v>
      </c>
      <c r="G35" s="14">
        <f>(C35-B35)</f>
        <v>1670</v>
      </c>
      <c r="H35" s="11" t="str">
        <f>IF(F35&lt;3,"Poor",IF(F35&lt;=4.4,"Average","Excellent"))</f>
        <v>Average</v>
      </c>
      <c r="I35" s="12" t="str">
        <f>IF(D35&lt;20%,"Low Discount",IF(D35&lt;=40%,"Medium Discount","High Discount"))</f>
        <v>High Discount</v>
      </c>
      <c r="J35" t="str">
        <f>IF(B35&lt;1000,"Low Price",IF(B35&lt;=2000,"Medium Price","High Price"))</f>
        <v>Medium Price</v>
      </c>
    </row>
    <row r="36" spans="1:10" ht="15.75" x14ac:dyDescent="0.25">
      <c r="A36" s="5" t="s">
        <v>272</v>
      </c>
      <c r="B36" s="14">
        <v>105</v>
      </c>
      <c r="C36" s="14">
        <v>200</v>
      </c>
      <c r="D36" s="1">
        <v>0.48</v>
      </c>
      <c r="G36" s="14">
        <f>(C36-B36)</f>
        <v>95</v>
      </c>
      <c r="H36" s="11" t="str">
        <f>IF(F36&lt;3,"Poor",IF(F36&lt;=4.4,"Average","Excellent"))</f>
        <v>Poor</v>
      </c>
      <c r="I36" s="12" t="str">
        <f>IF(D36&lt;20%,"Low Discount",IF(D36&lt;=40%,"Medium Discount","High Discount"))</f>
        <v>High Discount</v>
      </c>
      <c r="J36" t="str">
        <f>IF(B36&lt;1000,"Low Price",IF(B36&lt;=2000,"Medium Price","High Price"))</f>
        <v>Low Price</v>
      </c>
    </row>
    <row r="37" spans="1:10" ht="15.75" x14ac:dyDescent="0.25">
      <c r="A37" s="5" t="s">
        <v>171</v>
      </c>
      <c r="B37" s="14">
        <v>699</v>
      </c>
      <c r="C37" s="14">
        <v>1343</v>
      </c>
      <c r="D37" s="1">
        <v>0.48</v>
      </c>
      <c r="G37" s="14">
        <f>(C37-B37)</f>
        <v>644</v>
      </c>
      <c r="H37" s="11" t="str">
        <f>IF(F37&lt;3,"Poor",IF(F37&lt;=4.4,"Average","Excellent"))</f>
        <v>Poor</v>
      </c>
      <c r="I37" s="12" t="str">
        <f>IF(D37&lt;20%,"Low Discount",IF(D37&lt;=40%,"Medium Discount","High Discount"))</f>
        <v>High Discount</v>
      </c>
      <c r="J37" t="str">
        <f>IF(B37&lt;1000,"Low Price",IF(B37&lt;=2000,"Medium Price","High Price"))</f>
        <v>Low Price</v>
      </c>
    </row>
    <row r="38" spans="1:10" ht="15.75" x14ac:dyDescent="0.25">
      <c r="A38" s="5" t="s">
        <v>270</v>
      </c>
      <c r="B38" s="14">
        <v>1300</v>
      </c>
      <c r="C38" s="14">
        <v>2500</v>
      </c>
      <c r="D38" s="1">
        <v>0.48</v>
      </c>
      <c r="G38" s="14">
        <f>(C38-B38)</f>
        <v>1200</v>
      </c>
      <c r="H38" s="11" t="str">
        <f>IF(F38&lt;3,"Poor",IF(F38&lt;=4.4,"Average","Excellent"))</f>
        <v>Poor</v>
      </c>
      <c r="I38" s="12" t="str">
        <f>IF(D38&lt;20%,"Low Discount",IF(D38&lt;=40%,"Medium Discount","High Discount"))</f>
        <v>High Discount</v>
      </c>
      <c r="J38" t="str">
        <f>IF(B38&lt;1000,"Low Price",IF(B38&lt;=2000,"Medium Price","High Price"))</f>
        <v>Medium Price</v>
      </c>
    </row>
    <row r="39" spans="1:10" ht="15.75" x14ac:dyDescent="0.25">
      <c r="A39" s="5" t="s">
        <v>8</v>
      </c>
      <c r="B39" s="14">
        <v>527</v>
      </c>
      <c r="C39" s="14">
        <v>999</v>
      </c>
      <c r="D39" s="1">
        <v>0.47</v>
      </c>
      <c r="E39" s="5">
        <v>14</v>
      </c>
      <c r="F39" s="9">
        <v>4.0999999999999996</v>
      </c>
      <c r="G39" s="14">
        <f>(C39-B39)</f>
        <v>472</v>
      </c>
      <c r="H39" s="11" t="str">
        <f>IF(F39&lt;3,"Poor",IF(F39&lt;=4.4,"Average","Excellent"))</f>
        <v>Average</v>
      </c>
      <c r="I39" s="12" t="str">
        <f>IF(D39&lt;20%,"Low Discount",IF(D39&lt;=40%,"Medium Discount","High Discount"))</f>
        <v>High Discount</v>
      </c>
      <c r="J39" t="str">
        <f>IF(B39&lt;1000,"Low Price",IF(B39&lt;=2000,"Medium Price","High Price"))</f>
        <v>Low Price</v>
      </c>
    </row>
    <row r="40" spans="1:10" ht="15.75" x14ac:dyDescent="0.25">
      <c r="A40" s="5" t="s">
        <v>45</v>
      </c>
      <c r="B40" s="14">
        <v>552</v>
      </c>
      <c r="C40" s="14">
        <v>1035</v>
      </c>
      <c r="D40" s="1">
        <v>0.47</v>
      </c>
      <c r="E40" s="5">
        <v>12</v>
      </c>
      <c r="F40" s="9">
        <v>4.8</v>
      </c>
      <c r="G40" s="14">
        <f>(C40-B40)</f>
        <v>483</v>
      </c>
      <c r="H40" s="11" t="str">
        <f>IF(F40&lt;3,"Poor",IF(F40&lt;=4.4,"Average","Excellent"))</f>
        <v>Excellent</v>
      </c>
      <c r="I40" s="12" t="str">
        <f>IF(D40&lt;20%,"Low Discount",IF(D40&lt;=40%,"Medium Discount","High Discount"))</f>
        <v>High Discount</v>
      </c>
      <c r="J40" t="str">
        <f>IF(B40&lt;1000,"Low Price",IF(B40&lt;=2000,"Medium Price","High Price"))</f>
        <v>Low Price</v>
      </c>
    </row>
    <row r="41" spans="1:10" ht="15.75" x14ac:dyDescent="0.25">
      <c r="A41" s="5" t="s">
        <v>227</v>
      </c>
      <c r="B41" s="14">
        <v>1570</v>
      </c>
      <c r="C41" s="14">
        <v>2988</v>
      </c>
      <c r="D41" s="1">
        <v>0.47</v>
      </c>
      <c r="E41" s="5">
        <v>7</v>
      </c>
      <c r="F41" s="9">
        <v>2.1</v>
      </c>
      <c r="G41" s="14">
        <f>(C41-B41)</f>
        <v>1418</v>
      </c>
      <c r="H41" s="11" t="str">
        <f>IF(F41&lt;3,"Poor",IF(F41&lt;=4.4,"Average","Excellent"))</f>
        <v>Poor</v>
      </c>
      <c r="I41" s="12" t="str">
        <f>IF(D41&lt;20%,"Low Discount",IF(D41&lt;=40%,"Medium Discount","High Discount"))</f>
        <v>High Discount</v>
      </c>
      <c r="J41" t="str">
        <f>IF(B41&lt;1000,"Low Price",IF(B41&lt;=2000,"Medium Price","High Price"))</f>
        <v>Medium Price</v>
      </c>
    </row>
    <row r="42" spans="1:10" ht="15.75" x14ac:dyDescent="0.25">
      <c r="A42" s="5" t="s">
        <v>225</v>
      </c>
      <c r="B42" s="14">
        <v>968</v>
      </c>
      <c r="C42" s="14">
        <v>1814</v>
      </c>
      <c r="D42" s="1">
        <v>0.47</v>
      </c>
      <c r="E42" s="5">
        <v>6</v>
      </c>
      <c r="F42" s="9">
        <v>2.2000000000000002</v>
      </c>
      <c r="G42" s="14">
        <f>(C42-B42)</f>
        <v>846</v>
      </c>
      <c r="H42" s="11" t="str">
        <f>IF(F42&lt;3,"Poor",IF(F42&lt;=4.4,"Average","Excellent"))</f>
        <v>Poor</v>
      </c>
      <c r="I42" s="12" t="str">
        <f>IF(D42&lt;20%,"Low Discount",IF(D42&lt;=40%,"Medium Discount","High Discount"))</f>
        <v>High Discount</v>
      </c>
      <c r="J42" t="str">
        <f>IF(B42&lt;1000,"Low Price",IF(B42&lt;=2000,"Medium Price","High Price"))</f>
        <v>Low Price</v>
      </c>
    </row>
    <row r="43" spans="1:10" ht="15.75" x14ac:dyDescent="0.25">
      <c r="A43" s="5" t="s">
        <v>318</v>
      </c>
      <c r="B43" s="14">
        <v>169</v>
      </c>
      <c r="C43" s="14">
        <v>320</v>
      </c>
      <c r="D43" s="1">
        <v>0.47</v>
      </c>
      <c r="G43" s="14">
        <f>(C43-B43)</f>
        <v>151</v>
      </c>
      <c r="H43" s="11" t="str">
        <f>IF(F43&lt;3,"Poor",IF(F43&lt;=4.4,"Average","Excellent"))</f>
        <v>Poor</v>
      </c>
      <c r="I43" s="12" t="str">
        <f>IF(D43&lt;20%,"Low Discount",IF(D43&lt;=40%,"Medium Discount","High Discount"))</f>
        <v>High Discount</v>
      </c>
      <c r="J43" t="str">
        <f>IF(B43&lt;1000,"Low Price",IF(B43&lt;=2000,"Medium Price","High Price"))</f>
        <v>Low Price</v>
      </c>
    </row>
    <row r="44" spans="1:10" ht="15.75" x14ac:dyDescent="0.25">
      <c r="A44" s="5" t="s">
        <v>230</v>
      </c>
      <c r="B44" s="14">
        <v>790</v>
      </c>
      <c r="C44" s="14">
        <v>1485</v>
      </c>
      <c r="D44" s="1">
        <v>0.47</v>
      </c>
      <c r="G44" s="14">
        <f>(C44-B44)</f>
        <v>695</v>
      </c>
      <c r="H44" s="11" t="str">
        <f>IF(F44&lt;3,"Poor",IF(F44&lt;=4.4,"Average","Excellent"))</f>
        <v>Poor</v>
      </c>
      <c r="I44" s="12" t="str">
        <f>IF(D44&lt;20%,"Low Discount",IF(D44&lt;=40%,"Medium Discount","High Discount"))</f>
        <v>High Discount</v>
      </c>
      <c r="J44" t="str">
        <f>IF(B44&lt;1000,"Low Price",IF(B44&lt;=2000,"Medium Price","High Price"))</f>
        <v>Low Price</v>
      </c>
    </row>
    <row r="45" spans="1:10" ht="15.75" x14ac:dyDescent="0.25">
      <c r="A45" s="5" t="s">
        <v>275</v>
      </c>
      <c r="B45" s="14">
        <v>899</v>
      </c>
      <c r="C45" s="14">
        <v>1699</v>
      </c>
      <c r="D45" s="1">
        <v>0.47</v>
      </c>
      <c r="G45" s="14">
        <f>(C45-B45)</f>
        <v>800</v>
      </c>
      <c r="H45" s="11" t="str">
        <f>IF(F45&lt;3,"Poor",IF(F45&lt;=4.4,"Average","Excellent"))</f>
        <v>Poor</v>
      </c>
      <c r="I45" s="12" t="str">
        <f>IF(D45&lt;20%,"Low Discount",IF(D45&lt;=40%,"Medium Discount","High Discount"))</f>
        <v>High Discount</v>
      </c>
      <c r="J45" t="str">
        <f>IF(B45&lt;1000,"Low Price",IF(B45&lt;=2000,"Medium Price","High Price"))</f>
        <v>Low Price</v>
      </c>
    </row>
    <row r="46" spans="1:10" ht="15.75" x14ac:dyDescent="0.25">
      <c r="A46" s="5" t="s">
        <v>58</v>
      </c>
      <c r="B46" s="14">
        <v>195</v>
      </c>
      <c r="C46" s="14">
        <v>360</v>
      </c>
      <c r="D46" s="1">
        <v>0.46</v>
      </c>
      <c r="E46" s="5">
        <v>2</v>
      </c>
      <c r="F46" s="9">
        <v>5</v>
      </c>
      <c r="G46" s="14">
        <f>(C46-B46)</f>
        <v>165</v>
      </c>
      <c r="H46" s="11" t="str">
        <f>IF(F46&lt;3,"Poor",IF(F46&lt;=4.4,"Average","Excellent"))</f>
        <v>Excellent</v>
      </c>
      <c r="I46" s="12" t="str">
        <f>IF(D46&lt;20%,"Low Discount",IF(D46&lt;=40%,"Medium Discount","High Discount"))</f>
        <v>High Discount</v>
      </c>
      <c r="J46" t="str">
        <f>IF(B46&lt;1000,"Low Price",IF(B46&lt;=2000,"Medium Price","High Price"))</f>
        <v>Low Price</v>
      </c>
    </row>
    <row r="47" spans="1:10" ht="15.75" x14ac:dyDescent="0.25">
      <c r="A47" s="5" t="s">
        <v>241</v>
      </c>
      <c r="B47" s="14">
        <v>1189</v>
      </c>
      <c r="C47" s="14">
        <v>2199</v>
      </c>
      <c r="D47" s="1">
        <v>0.46</v>
      </c>
      <c r="E47" s="5">
        <v>1</v>
      </c>
      <c r="F47" s="9">
        <v>3</v>
      </c>
      <c r="G47" s="14">
        <f>(C47-B47)</f>
        <v>1010</v>
      </c>
      <c r="H47" s="11" t="str">
        <f>IF(F47&lt;3,"Poor",IF(F47&lt;=4.4,"Average","Excellent"))</f>
        <v>Average</v>
      </c>
      <c r="I47" s="12" t="str">
        <f>IF(D47&lt;20%,"Low Discount",IF(D47&lt;=40%,"Medium Discount","High Discount"))</f>
        <v>High Discount</v>
      </c>
      <c r="J47" t="str">
        <f>IF(B47&lt;1000,"Low Price",IF(B47&lt;=2000,"Medium Price","High Price"))</f>
        <v>Medium Price</v>
      </c>
    </row>
    <row r="48" spans="1:10" ht="15.75" x14ac:dyDescent="0.25">
      <c r="A48" s="5" t="s">
        <v>97</v>
      </c>
      <c r="B48" s="14">
        <v>2200</v>
      </c>
      <c r="C48" s="14">
        <v>4080</v>
      </c>
      <c r="D48" s="1">
        <v>0.46</v>
      </c>
      <c r="G48" s="14">
        <f>(C48-B48)</f>
        <v>1880</v>
      </c>
      <c r="H48" s="11" t="str">
        <f>IF(F48&lt;3,"Poor",IF(F48&lt;=4.4,"Average","Excellent"))</f>
        <v>Poor</v>
      </c>
      <c r="I48" s="12" t="str">
        <f>IF(D48&lt;20%,"Low Discount",IF(D48&lt;=40%,"Medium Discount","High Discount"))</f>
        <v>High Discount</v>
      </c>
      <c r="J48" t="str">
        <f>IF(B48&lt;1000,"Low Price",IF(B48&lt;=2000,"Medium Price","High Price"))</f>
        <v>High Price</v>
      </c>
    </row>
    <row r="49" spans="1:10" ht="15.75" x14ac:dyDescent="0.25">
      <c r="A49" s="5" t="s">
        <v>213</v>
      </c>
      <c r="B49" s="14">
        <v>382</v>
      </c>
      <c r="C49" s="14">
        <v>700</v>
      </c>
      <c r="D49" s="1">
        <v>0.45</v>
      </c>
      <c r="E49" s="5">
        <v>17</v>
      </c>
      <c r="F49" s="9">
        <v>2.6</v>
      </c>
      <c r="G49" s="14">
        <f>(C49-B49)</f>
        <v>318</v>
      </c>
      <c r="H49" s="11" t="str">
        <f>IF(F49&lt;3,"Poor",IF(F49&lt;=4.4,"Average","Excellent"))</f>
        <v>Poor</v>
      </c>
      <c r="I49" s="12" t="str">
        <f>IF(D49&lt;20%,"Low Discount",IF(D49&lt;=40%,"Medium Discount","High Discount"))</f>
        <v>High Discount</v>
      </c>
      <c r="J49" t="str">
        <f>IF(B49&lt;1000,"Low Price",IF(B49&lt;=2000,"Medium Price","High Price"))</f>
        <v>Low Price</v>
      </c>
    </row>
    <row r="50" spans="1:10" ht="15.75" x14ac:dyDescent="0.25">
      <c r="A50" s="5" t="s">
        <v>204</v>
      </c>
      <c r="B50" s="14">
        <v>990</v>
      </c>
      <c r="C50" s="14">
        <v>1814</v>
      </c>
      <c r="D50" s="1">
        <v>0.45</v>
      </c>
      <c r="E50" s="5">
        <v>6</v>
      </c>
      <c r="F50" s="9">
        <v>2.2000000000000002</v>
      </c>
      <c r="G50" s="14">
        <f>(C50-B50)</f>
        <v>824</v>
      </c>
      <c r="H50" s="11" t="str">
        <f>IF(F50&lt;3,"Poor",IF(F50&lt;=4.4,"Average","Excellent"))</f>
        <v>Poor</v>
      </c>
      <c r="I50" s="12" t="str">
        <f>IF(D50&lt;20%,"Low Discount",IF(D50&lt;=40%,"Medium Discount","High Discount"))</f>
        <v>High Discount</v>
      </c>
      <c r="J50" t="str">
        <f>IF(B50&lt;1000,"Low Price",IF(B50&lt;=2000,"Medium Price","High Price"))</f>
        <v>Low Price</v>
      </c>
    </row>
    <row r="51" spans="1:10" ht="15.75" x14ac:dyDescent="0.25">
      <c r="A51" s="5" t="s">
        <v>36</v>
      </c>
      <c r="B51" s="14">
        <v>1600</v>
      </c>
      <c r="C51" s="14">
        <v>2929</v>
      </c>
      <c r="D51" s="1">
        <v>0.45</v>
      </c>
      <c r="E51" s="5">
        <v>5</v>
      </c>
      <c r="F51" s="9">
        <v>3.8</v>
      </c>
      <c r="G51" s="14">
        <f>(C51-B51)</f>
        <v>1329</v>
      </c>
      <c r="H51" s="11" t="str">
        <f>IF(F51&lt;3,"Poor",IF(F51&lt;=4.4,"Average","Excellent"))</f>
        <v>Average</v>
      </c>
      <c r="I51" s="12" t="str">
        <f>IF(D51&lt;20%,"Low Discount",IF(D51&lt;=40%,"Medium Discount","High Discount"))</f>
        <v>High Discount</v>
      </c>
      <c r="J51" t="str">
        <f>IF(B51&lt;1000,"Low Price",IF(B51&lt;=2000,"Medium Price","High Price"))</f>
        <v>Medium Price</v>
      </c>
    </row>
    <row r="52" spans="1:10" ht="15.75" x14ac:dyDescent="0.25">
      <c r="A52" s="5" t="s">
        <v>168</v>
      </c>
      <c r="B52" s="14">
        <v>499</v>
      </c>
      <c r="C52" s="14">
        <v>900</v>
      </c>
      <c r="D52" s="1">
        <v>0.45</v>
      </c>
      <c r="G52" s="14">
        <f>(C52-B52)</f>
        <v>401</v>
      </c>
      <c r="H52" s="11" t="str">
        <f>IF(F52&lt;3,"Poor",IF(F52&lt;=4.4,"Average","Excellent"))</f>
        <v>Poor</v>
      </c>
      <c r="I52" s="12" t="str">
        <f>IF(D52&lt;20%,"Low Discount",IF(D52&lt;=40%,"Medium Discount","High Discount"))</f>
        <v>High Discount</v>
      </c>
      <c r="J52" t="str">
        <f>IF(B52&lt;1000,"Low Price",IF(B52&lt;=2000,"Medium Price","High Price"))</f>
        <v>Low Price</v>
      </c>
    </row>
    <row r="53" spans="1:10" ht="15.75" x14ac:dyDescent="0.25">
      <c r="A53" s="5" t="s">
        <v>219</v>
      </c>
      <c r="B53" s="14">
        <v>345</v>
      </c>
      <c r="C53" s="14">
        <v>602</v>
      </c>
      <c r="D53" s="1">
        <v>0.43</v>
      </c>
      <c r="E53" s="5">
        <v>6</v>
      </c>
      <c r="F53" s="9">
        <v>2.2999999999999998</v>
      </c>
      <c r="G53" s="14">
        <f>(C53-B53)</f>
        <v>257</v>
      </c>
      <c r="H53" s="11" t="str">
        <f>IF(F53&lt;3,"Poor",IF(F53&lt;=4.4,"Average","Excellent"))</f>
        <v>Poor</v>
      </c>
      <c r="I53" s="12" t="str">
        <f>IF(D53&lt;20%,"Low Discount",IF(D53&lt;=40%,"Medium Discount","High Discount"))</f>
        <v>High Discount</v>
      </c>
      <c r="J53" t="str">
        <f>IF(B53&lt;1000,"Low Price",IF(B53&lt;=2000,"Medium Price","High Price"))</f>
        <v>Low Price</v>
      </c>
    </row>
    <row r="54" spans="1:10" ht="15.75" x14ac:dyDescent="0.25">
      <c r="A54" s="5" t="s">
        <v>222</v>
      </c>
      <c r="B54" s="14">
        <v>509</v>
      </c>
      <c r="C54" s="14">
        <v>899</v>
      </c>
      <c r="D54" s="1">
        <v>0.43</v>
      </c>
      <c r="E54" s="5">
        <v>5</v>
      </c>
      <c r="F54" s="9">
        <v>3</v>
      </c>
      <c r="G54" s="14">
        <f>(C54-B54)</f>
        <v>390</v>
      </c>
      <c r="H54" s="11" t="str">
        <f>IF(F54&lt;3,"Poor",IF(F54&lt;=4.4,"Average","Excellent"))</f>
        <v>Average</v>
      </c>
      <c r="I54" s="12" t="str">
        <f>IF(D54&lt;20%,"Low Discount",IF(D54&lt;=40%,"Medium Discount","High Discount"))</f>
        <v>High Discount</v>
      </c>
      <c r="J54" t="str">
        <f>IF(B54&lt;1000,"Low Price",IF(B54&lt;=2000,"Medium Price","High Price"))</f>
        <v>Low Price</v>
      </c>
    </row>
    <row r="55" spans="1:10" ht="15.75" x14ac:dyDescent="0.25">
      <c r="A55" s="5" t="s">
        <v>264</v>
      </c>
      <c r="B55" s="14">
        <v>630</v>
      </c>
      <c r="C55" s="14">
        <v>1100</v>
      </c>
      <c r="D55" s="1">
        <v>0.43</v>
      </c>
      <c r="G55" s="14">
        <f>(C55-B55)</f>
        <v>470</v>
      </c>
      <c r="H55" s="11" t="str">
        <f>IF(F55&lt;3,"Poor",IF(F55&lt;=4.4,"Average","Excellent"))</f>
        <v>Poor</v>
      </c>
      <c r="I55" s="12" t="str">
        <f>IF(D55&lt;20%,"Low Discount",IF(D55&lt;=40%,"Medium Discount","High Discount"))</f>
        <v>High Discount</v>
      </c>
      <c r="J55" t="str">
        <f>IF(B55&lt;1000,"Low Price",IF(B55&lt;=2000,"Medium Price","High Price"))</f>
        <v>Low Price</v>
      </c>
    </row>
    <row r="56" spans="1:10" ht="15.75" x14ac:dyDescent="0.25">
      <c r="A56" s="5" t="s">
        <v>233</v>
      </c>
      <c r="B56" s="14">
        <v>690</v>
      </c>
      <c r="C56" s="14">
        <v>1200</v>
      </c>
      <c r="D56" s="1">
        <v>0.43</v>
      </c>
      <c r="G56" s="14">
        <f>(C56-B56)</f>
        <v>510</v>
      </c>
      <c r="H56" s="11" t="str">
        <f>IF(F56&lt;3,"Poor",IF(F56&lt;=4.4,"Average","Excellent"))</f>
        <v>Poor</v>
      </c>
      <c r="I56" s="12" t="str">
        <f>IF(D56&lt;20%,"Low Discount",IF(D56&lt;=40%,"Medium Discount","High Discount"))</f>
        <v>High Discount</v>
      </c>
      <c r="J56" t="str">
        <f>IF(B56&lt;1000,"Low Price",IF(B56&lt;=2000,"Medium Price","High Price"))</f>
        <v>Low Price</v>
      </c>
    </row>
    <row r="57" spans="1:10" ht="15.75" x14ac:dyDescent="0.25">
      <c r="A57" s="5" t="s">
        <v>48</v>
      </c>
      <c r="B57" s="14">
        <v>501</v>
      </c>
      <c r="C57" s="14">
        <v>860</v>
      </c>
      <c r="D57" s="1">
        <v>0.42</v>
      </c>
      <c r="E57" s="5">
        <v>6</v>
      </c>
      <c r="F57" s="9">
        <v>4.5</v>
      </c>
      <c r="G57" s="14">
        <f>(C57-B57)</f>
        <v>359</v>
      </c>
      <c r="H57" s="11" t="str">
        <f>IF(F57&lt;3,"Poor",IF(F57&lt;=4.4,"Average","Excellent"))</f>
        <v>Excellent</v>
      </c>
      <c r="I57" s="12" t="str">
        <f>IF(D57&lt;20%,"Low Discount",IF(D57&lt;=40%,"Medium Discount","High Discount"))</f>
        <v>High Discount</v>
      </c>
      <c r="J57" t="str">
        <f>IF(B57&lt;1000,"Low Price",IF(B57&lt;=2000,"Medium Price","High Price"))</f>
        <v>Low Price</v>
      </c>
    </row>
    <row r="58" spans="1:10" ht="15.75" x14ac:dyDescent="0.25">
      <c r="A58" s="5" t="s">
        <v>135</v>
      </c>
      <c r="B58" s="14">
        <v>610</v>
      </c>
      <c r="C58" s="14">
        <v>1060</v>
      </c>
      <c r="D58" s="1">
        <v>0.42</v>
      </c>
      <c r="G58" s="14">
        <f>(C58-B58)</f>
        <v>450</v>
      </c>
      <c r="I58" s="12" t="str">
        <f>IF(D58&lt;20%,"Low Discount",IF(D58&lt;=40%,"Medium Discount","High Discount"))</f>
        <v>High Discount</v>
      </c>
      <c r="J58" t="str">
        <f>IF(B58&lt;1000,"Low Price",IF(B58&lt;=2000,"Medium Price","High Price"))</f>
        <v>Low Price</v>
      </c>
    </row>
    <row r="59" spans="1:10" ht="15.75" x14ac:dyDescent="0.25">
      <c r="A59" s="5" t="s">
        <v>290</v>
      </c>
      <c r="B59" s="14">
        <v>1080</v>
      </c>
      <c r="C59" s="14">
        <v>1874</v>
      </c>
      <c r="D59" s="1">
        <v>0.42</v>
      </c>
      <c r="G59" s="14">
        <f>(C59-B59)</f>
        <v>794</v>
      </c>
      <c r="I59" s="12" t="str">
        <f>IF(D59&lt;20%,"Low Discount",IF(D59&lt;=40%,"Medium Discount","High Discount"))</f>
        <v>High Discount</v>
      </c>
      <c r="J59" t="str">
        <f>IF(B59&lt;1000,"Low Price",IF(B59&lt;=2000,"Medium Price","High Price"))</f>
        <v>Medium Price</v>
      </c>
    </row>
    <row r="60" spans="1:10" ht="15.75" x14ac:dyDescent="0.25">
      <c r="A60" s="5" t="s">
        <v>73</v>
      </c>
      <c r="B60" s="14">
        <v>1860</v>
      </c>
      <c r="C60" s="14">
        <v>3220</v>
      </c>
      <c r="D60" s="1">
        <v>0.42</v>
      </c>
      <c r="G60" s="14">
        <f>(C60-B60)</f>
        <v>1360</v>
      </c>
      <c r="I60" s="12" t="str">
        <f>IF(D60&lt;20%,"Low Discount",IF(D60&lt;=40%,"Medium Discount","High Discount"))</f>
        <v>High Discount</v>
      </c>
      <c r="J60" t="str">
        <f>IF(B60&lt;1000,"Low Price",IF(B60&lt;=2000,"Medium Price","High Price"))</f>
        <v>Medium Price</v>
      </c>
    </row>
    <row r="61" spans="1:10" ht="15.75" x14ac:dyDescent="0.25">
      <c r="A61" s="5" t="s">
        <v>120</v>
      </c>
      <c r="B61" s="14">
        <v>389</v>
      </c>
      <c r="C61" s="14">
        <v>656</v>
      </c>
      <c r="D61" s="1">
        <v>0.41</v>
      </c>
      <c r="E61" s="5">
        <v>36</v>
      </c>
      <c r="F61" s="9">
        <v>4.3</v>
      </c>
      <c r="G61" s="14">
        <f>(C61-B61)</f>
        <v>267</v>
      </c>
      <c r="I61" s="12" t="str">
        <f>IF(D61&lt;20%,"Low Discount",IF(D61&lt;=40%,"Medium Discount","High Discount"))</f>
        <v>High Discount</v>
      </c>
      <c r="J61" t="str">
        <f>IF(B61&lt;1000,"Low Price",IF(B61&lt;=2000,"Medium Price","High Price"))</f>
        <v>Low Price</v>
      </c>
    </row>
    <row r="62" spans="1:10" ht="15.75" x14ac:dyDescent="0.25">
      <c r="A62" s="5" t="s">
        <v>166</v>
      </c>
      <c r="B62" s="14">
        <v>799</v>
      </c>
      <c r="C62" s="14">
        <v>1343</v>
      </c>
      <c r="D62" s="1">
        <v>0.41</v>
      </c>
      <c r="G62" s="14">
        <f>(C62-B62)</f>
        <v>544</v>
      </c>
      <c r="I62" s="12" t="str">
        <f>IF(D62&lt;20%,"Low Discount",IF(D62&lt;=40%,"Medium Discount","High Discount"))</f>
        <v>High Discount</v>
      </c>
      <c r="J62" t="str">
        <f>IF(B62&lt;1000,"Low Price",IF(B62&lt;=2000,"Medium Price","High Price"))</f>
        <v>Low Price</v>
      </c>
    </row>
    <row r="63" spans="1:10" ht="15.75" x14ac:dyDescent="0.25">
      <c r="A63" s="5" t="s">
        <v>296</v>
      </c>
      <c r="B63" s="14">
        <v>1420</v>
      </c>
      <c r="C63" s="14">
        <v>2420</v>
      </c>
      <c r="D63" s="1">
        <v>0.41</v>
      </c>
      <c r="G63" s="14">
        <f>(C63-B63)</f>
        <v>1000</v>
      </c>
      <c r="I63" s="12" t="str">
        <f>IF(D63&lt;20%,"Low Discount",IF(D63&lt;=40%,"Medium Discount","High Discount"))</f>
        <v>High Discount</v>
      </c>
      <c r="J63" t="str">
        <f>IF(B63&lt;1000,"Low Price",IF(B63&lt;=2000,"Medium Price","High Price"))</f>
        <v>Medium Price</v>
      </c>
    </row>
    <row r="64" spans="1:10" ht="15.75" x14ac:dyDescent="0.25">
      <c r="A64" s="5" t="s">
        <v>115</v>
      </c>
      <c r="B64" s="14">
        <v>1620</v>
      </c>
      <c r="C64" s="14">
        <v>2690</v>
      </c>
      <c r="D64" s="1">
        <v>0.4</v>
      </c>
      <c r="E64" s="5">
        <v>1</v>
      </c>
      <c r="F64" s="9">
        <v>5</v>
      </c>
      <c r="G64" s="14">
        <f>(C64-B64)</f>
        <v>1070</v>
      </c>
      <c r="I64" s="12" t="str">
        <f>IF(D64&lt;20%,"Low Discount",IF(D64&lt;=40%,"Medium Discount","High Discount"))</f>
        <v>Medium Discount</v>
      </c>
      <c r="J64" t="str">
        <f>IF(B64&lt;1000,"Low Price",IF(B64&lt;=2000,"Medium Price","High Price"))</f>
        <v>Medium Price</v>
      </c>
    </row>
    <row r="65" spans="1:10" ht="15.75" x14ac:dyDescent="0.25">
      <c r="A65" s="5" t="s">
        <v>210</v>
      </c>
      <c r="B65" s="14">
        <v>3750</v>
      </c>
      <c r="C65" s="14">
        <v>6143</v>
      </c>
      <c r="D65" s="1">
        <v>0.39</v>
      </c>
      <c r="E65" s="5">
        <v>5</v>
      </c>
      <c r="F65" s="9">
        <v>3</v>
      </c>
      <c r="G65" s="14">
        <f>(C65-B65)</f>
        <v>2393</v>
      </c>
      <c r="I65" s="12" t="str">
        <f>IF(D65&lt;20%,"Low Discount",IF(D65&lt;=40%,"Medium Discount","High Discount"))</f>
        <v>Medium Discount</v>
      </c>
      <c r="J65" t="str">
        <f>IF(B65&lt;1000,"Low Price",IF(B65&lt;=2000,"Medium Price","High Price"))</f>
        <v>High Price</v>
      </c>
    </row>
    <row r="66" spans="1:10" ht="15.75" x14ac:dyDescent="0.25">
      <c r="A66" s="5" t="s">
        <v>4</v>
      </c>
      <c r="B66" s="14">
        <v>950</v>
      </c>
      <c r="C66" s="14">
        <v>1525</v>
      </c>
      <c r="D66" s="1">
        <v>0.38</v>
      </c>
      <c r="E66" s="5">
        <v>2</v>
      </c>
      <c r="F66" s="9">
        <v>4.5</v>
      </c>
      <c r="G66" s="14">
        <f>(C66-B66)</f>
        <v>575</v>
      </c>
      <c r="I66" s="12" t="str">
        <f>IF(D66&lt;20%,"Low Discount",IF(D66&lt;=40%,"Medium Discount","High Discount"))</f>
        <v>Medium Discount</v>
      </c>
      <c r="J66" t="str">
        <f>IF(B66&lt;1000,"Low Price",IF(B66&lt;=2000,"Medium Price","High Price"))</f>
        <v>Low Price</v>
      </c>
    </row>
    <row r="67" spans="1:10" ht="15.75" x14ac:dyDescent="0.25">
      <c r="A67" s="5" t="s">
        <v>149</v>
      </c>
      <c r="B67" s="14">
        <v>1200</v>
      </c>
      <c r="C67" s="14">
        <v>1950</v>
      </c>
      <c r="D67" s="1">
        <v>0.38</v>
      </c>
      <c r="G67" s="14">
        <f>(C67-B67)</f>
        <v>750</v>
      </c>
      <c r="I67" s="12" t="str">
        <f>IF(D67&lt;20%,"Low Discount",IF(D67&lt;=40%,"Medium Discount","High Discount"))</f>
        <v>Medium Discount</v>
      </c>
      <c r="J67" t="str">
        <f>IF(B67&lt;1000,"Low Price",IF(B67&lt;=2000,"Medium Price","High Price"))</f>
        <v>Medium Price</v>
      </c>
    </row>
    <row r="68" spans="1:10" ht="15.75" x14ac:dyDescent="0.25">
      <c r="A68" s="5" t="s">
        <v>126</v>
      </c>
      <c r="B68" s="14">
        <v>2750</v>
      </c>
      <c r="C68" s="14">
        <v>4471</v>
      </c>
      <c r="D68" s="1">
        <v>0.38</v>
      </c>
      <c r="G68" s="14">
        <f>(C68-B68)</f>
        <v>1721</v>
      </c>
      <c r="I68" s="12" t="str">
        <f>IF(D68&lt;20%,"Low Discount",IF(D68&lt;=40%,"Medium Discount","High Discount"))</f>
        <v>Medium Discount</v>
      </c>
      <c r="J68" t="str">
        <f>IF(B68&lt;1000,"Low Price",IF(B68&lt;=2000,"Medium Price","High Price"))</f>
        <v>High Price</v>
      </c>
    </row>
    <row r="69" spans="1:10" ht="15.75" x14ac:dyDescent="0.25">
      <c r="A69" s="5" t="s">
        <v>16</v>
      </c>
      <c r="B69" s="14">
        <v>1580</v>
      </c>
      <c r="C69" s="14">
        <v>2499</v>
      </c>
      <c r="D69" s="1">
        <v>0.37</v>
      </c>
      <c r="E69" s="5">
        <v>7</v>
      </c>
      <c r="F69" s="9">
        <v>4.7</v>
      </c>
      <c r="G69" s="14">
        <f>(C69-B69)</f>
        <v>919</v>
      </c>
      <c r="I69" s="12" t="str">
        <f>IF(D69&lt;20%,"Low Discount",IF(D69&lt;=40%,"Medium Discount","High Discount"))</f>
        <v>Medium Discount</v>
      </c>
      <c r="J69" t="str">
        <f>IF(B69&lt;1000,"Low Price",IF(B69&lt;=2000,"Medium Price","High Price"))</f>
        <v>Medium Price</v>
      </c>
    </row>
    <row r="70" spans="1:10" ht="15.75" x14ac:dyDescent="0.25">
      <c r="A70" s="5" t="s">
        <v>31</v>
      </c>
      <c r="B70" s="14">
        <v>988</v>
      </c>
      <c r="C70" s="14">
        <v>1580</v>
      </c>
      <c r="D70" s="1">
        <v>0.37</v>
      </c>
      <c r="E70" s="5">
        <v>2</v>
      </c>
      <c r="F70" s="9">
        <v>4</v>
      </c>
      <c r="G70" s="14">
        <f>(C70-B70)</f>
        <v>592</v>
      </c>
      <c r="I70" s="12" t="str">
        <f>IF(D70&lt;20%,"Low Discount",IF(D70&lt;=40%,"Medium Discount","High Discount"))</f>
        <v>Medium Discount</v>
      </c>
      <c r="J70" t="str">
        <f>IF(B70&lt;1000,"Low Price",IF(B70&lt;=2000,"Medium Price","High Price"))</f>
        <v>Low Price</v>
      </c>
    </row>
    <row r="71" spans="1:10" ht="15.75" x14ac:dyDescent="0.25">
      <c r="A71" s="5">
        <f>COUNTA(A1:A69)</f>
        <v>69</v>
      </c>
      <c r="B71" s="14">
        <f>AVERAGE(B1:B69)</f>
        <v>863.94117647058829</v>
      </c>
      <c r="C71" s="14">
        <f>AVERAGE(C1:C69)</f>
        <v>1616.0882352941176</v>
      </c>
      <c r="D71" s="1">
        <f>AVERAGE(D1:D69)</f>
        <v>0.4745588235294117</v>
      </c>
      <c r="E71" s="5">
        <f>SUM(E1:E69)</f>
        <v>349</v>
      </c>
      <c r="F71" s="9" t="e">
        <f>AVERAGE(#REF!)</f>
        <v>#REF!</v>
      </c>
      <c r="G71" s="14">
        <f>(C71-B71)</f>
        <v>752.14705882352928</v>
      </c>
      <c r="I71" s="12" t="str">
        <f>IF(D71&lt;20%,"Low Discount",IF(D71&lt;=40%,"Medium Discount","High Discount"))</f>
        <v>High Discount</v>
      </c>
      <c r="J71" t="str">
        <f>IF(B71&lt;1000,"Low Price",IF(B71&lt;=2000,"Medium Price","High Price"))</f>
        <v>Low Price</v>
      </c>
    </row>
    <row r="72" spans="1:10" ht="15.75" x14ac:dyDescent="0.25">
      <c r="A72" s="5" t="s">
        <v>246</v>
      </c>
      <c r="B72" s="14">
        <v>1460</v>
      </c>
      <c r="C72" s="14">
        <v>2290</v>
      </c>
      <c r="D72" s="1">
        <v>0.36</v>
      </c>
      <c r="G72" s="14">
        <f>(C72-B72)</f>
        <v>830</v>
      </c>
      <c r="I72" s="12" t="str">
        <f>IF(D72&lt;20%,"Low Discount",IF(D72&lt;=40%,"Medium Discount","High Discount"))</f>
        <v>Medium Discount</v>
      </c>
      <c r="J72" t="str">
        <f>IF(B72&lt;1000,"Low Price",IF(B72&lt;=2000,"Medium Price","High Price"))</f>
        <v>Medium Price</v>
      </c>
    </row>
    <row r="73" spans="1:10" ht="15.75" x14ac:dyDescent="0.25">
      <c r="A73" s="5" t="s">
        <v>87</v>
      </c>
      <c r="B73" s="14">
        <v>420</v>
      </c>
      <c r="C73" s="14">
        <v>647</v>
      </c>
      <c r="D73" s="1">
        <v>0.35</v>
      </c>
      <c r="E73" s="5">
        <v>49</v>
      </c>
      <c r="F73" s="9">
        <v>4.5999999999999996</v>
      </c>
      <c r="G73" s="14">
        <f>(C73-B73)</f>
        <v>227</v>
      </c>
      <c r="I73" s="12" t="str">
        <f>IF(D73&lt;20%,"Low Discount",IF(D73&lt;=40%,"Medium Discount","High Discount"))</f>
        <v>Medium Discount</v>
      </c>
      <c r="J73" t="str">
        <f>IF(B73&lt;1000,"Low Price",IF(B73&lt;=2000,"Medium Price","High Price"))</f>
        <v>Low Price</v>
      </c>
    </row>
    <row r="74" spans="1:10" ht="15.75" x14ac:dyDescent="0.25">
      <c r="A74" s="5" t="s">
        <v>76</v>
      </c>
      <c r="B74" s="14">
        <v>880</v>
      </c>
      <c r="C74" s="14">
        <v>1350</v>
      </c>
      <c r="D74" s="1">
        <v>0.35</v>
      </c>
      <c r="E74" s="5">
        <v>6</v>
      </c>
      <c r="F74" s="9">
        <v>4</v>
      </c>
      <c r="G74" s="14">
        <f>(C74-B74)</f>
        <v>470</v>
      </c>
      <c r="I74" s="12" t="str">
        <f>IF(D74&lt;20%,"Low Discount",IF(D74&lt;=40%,"Medium Discount","High Discount"))</f>
        <v>Medium Discount</v>
      </c>
      <c r="J74" t="str">
        <f>IF(B74&lt;1000,"Low Price",IF(B74&lt;=2000,"Medium Price","High Price"))</f>
        <v>Low Price</v>
      </c>
    </row>
    <row r="75" spans="1:10" ht="15.75" x14ac:dyDescent="0.25">
      <c r="A75" s="5" t="s">
        <v>42</v>
      </c>
      <c r="B75" s="14">
        <v>990</v>
      </c>
      <c r="C75" s="14">
        <v>1500</v>
      </c>
      <c r="D75" s="1">
        <v>0.34</v>
      </c>
      <c r="E75" s="5">
        <v>39</v>
      </c>
      <c r="F75" s="9">
        <v>4.7</v>
      </c>
      <c r="G75" s="14">
        <f>(C75-B75)</f>
        <v>510</v>
      </c>
      <c r="I75" s="12" t="str">
        <f>IF(D75&lt;20%,"Low Discount",IF(D75&lt;=40%,"Medium Discount","High Discount"))</f>
        <v>Medium Discount</v>
      </c>
      <c r="J75" t="str">
        <f>IF(B75&lt;1000,"Low Price",IF(B75&lt;=2000,"Medium Price","High Price"))</f>
        <v>Low Price</v>
      </c>
    </row>
    <row r="76" spans="1:10" ht="15.75" x14ac:dyDescent="0.25">
      <c r="A76" s="5" t="s">
        <v>103</v>
      </c>
      <c r="B76" s="14">
        <v>980</v>
      </c>
      <c r="C76" s="14">
        <v>1490</v>
      </c>
      <c r="D76" s="1">
        <v>0.34</v>
      </c>
      <c r="E76" s="5">
        <v>12</v>
      </c>
      <c r="F76" s="9">
        <v>4.7</v>
      </c>
      <c r="G76" s="14">
        <f>(C76-B76)</f>
        <v>510</v>
      </c>
      <c r="I76" s="12" t="str">
        <f>IF(D76&lt;20%,"Low Discount",IF(D76&lt;=40%,"Medium Discount","High Discount"))</f>
        <v>Medium Discount</v>
      </c>
      <c r="J76" t="str">
        <f>IF(B76&lt;1000,"Low Price",IF(B76&lt;=2000,"Medium Price","High Price"))</f>
        <v>Low Price</v>
      </c>
    </row>
    <row r="77" spans="1:10" ht="15.75" x14ac:dyDescent="0.25">
      <c r="A77" s="5" t="s">
        <v>305</v>
      </c>
      <c r="B77" s="14">
        <v>1150</v>
      </c>
      <c r="C77" s="14">
        <v>1737</v>
      </c>
      <c r="D77" s="1">
        <v>0.34</v>
      </c>
      <c r="G77" s="14">
        <f>(C77-B77)</f>
        <v>587</v>
      </c>
      <c r="I77" s="12" t="str">
        <f>IF(D77&lt;20%,"Low Discount",IF(D77&lt;=40%,"Medium Discount","High Discount"))</f>
        <v>Medium Discount</v>
      </c>
      <c r="J77" t="str">
        <f>IF(B77&lt;1000,"Low Price",IF(B77&lt;=2000,"Medium Price","High Price"))</f>
        <v>Medium Price</v>
      </c>
    </row>
    <row r="78" spans="1:10" ht="15.75" x14ac:dyDescent="0.25">
      <c r="A78" s="5" t="s">
        <v>308</v>
      </c>
      <c r="B78" s="14">
        <v>1190</v>
      </c>
      <c r="C78" s="14">
        <v>1810</v>
      </c>
      <c r="D78" s="1">
        <v>0.34</v>
      </c>
      <c r="G78" s="14">
        <f>(C78-B78)</f>
        <v>620</v>
      </c>
      <c r="I78" s="12" t="str">
        <f>IF(D78&lt;20%,"Low Discount",IF(D78&lt;=40%,"Medium Discount","High Discount"))</f>
        <v>Medium Discount</v>
      </c>
      <c r="J78" t="str">
        <f>IF(B78&lt;1000,"Low Price",IF(B78&lt;=2000,"Medium Price","High Price"))</f>
        <v>Medium Price</v>
      </c>
    </row>
    <row r="79" spans="1:10" ht="15.75" x14ac:dyDescent="0.25">
      <c r="A79" s="5" t="s">
        <v>51</v>
      </c>
      <c r="B79" s="14">
        <v>1680</v>
      </c>
      <c r="C79" s="14">
        <v>2499</v>
      </c>
      <c r="D79" s="1">
        <v>0.33</v>
      </c>
      <c r="E79" s="5">
        <v>9</v>
      </c>
      <c r="F79" s="9">
        <v>4.2</v>
      </c>
      <c r="G79" s="14">
        <f>(C79-B79)</f>
        <v>819</v>
      </c>
      <c r="I79" s="12" t="str">
        <f>IF(D79&lt;20%,"Low Discount",IF(D79&lt;=40%,"Medium Discount","High Discount"))</f>
        <v>Medium Discount</v>
      </c>
      <c r="J79" t="str">
        <f>IF(B79&lt;1000,"Low Price",IF(B79&lt;=2000,"Medium Price","High Price"))</f>
        <v>Medium Price</v>
      </c>
    </row>
    <row r="80" spans="1:10" ht="15.75" x14ac:dyDescent="0.25">
      <c r="A80" s="5" t="s">
        <v>143</v>
      </c>
      <c r="B80" s="14">
        <v>1190</v>
      </c>
      <c r="C80" s="14">
        <v>1785</v>
      </c>
      <c r="D80" s="1">
        <v>0.33</v>
      </c>
      <c r="G80" s="14">
        <f>(C80-B80)</f>
        <v>595</v>
      </c>
      <c r="I80" s="12" t="str">
        <f>IF(D80&lt;20%,"Low Discount",IF(D80&lt;=40%,"Medium Discount","High Discount"))</f>
        <v>Medium Discount</v>
      </c>
      <c r="J80" t="str">
        <f>IF(B80&lt;1000,"Low Price",IF(B80&lt;=2000,"Medium Price","High Price"))</f>
        <v>Medium Price</v>
      </c>
    </row>
    <row r="81" spans="1:10" ht="15.75" x14ac:dyDescent="0.25">
      <c r="A81" s="5" t="s">
        <v>93</v>
      </c>
      <c r="B81" s="14">
        <v>1350</v>
      </c>
      <c r="C81" s="14">
        <v>1990</v>
      </c>
      <c r="D81" s="1">
        <v>0.32</v>
      </c>
      <c r="E81" s="5">
        <v>13</v>
      </c>
      <c r="F81" s="9">
        <v>3.8</v>
      </c>
      <c r="G81" s="14">
        <f>(C81-B81)</f>
        <v>640</v>
      </c>
      <c r="I81" s="12" t="str">
        <f>IF(D81&lt;20%,"Low Discount",IF(D81&lt;=40%,"Medium Discount","High Discount"))</f>
        <v>Medium Discount</v>
      </c>
      <c r="J81" t="str">
        <f>IF(B81&lt;1000,"Low Price",IF(B81&lt;=2000,"Medium Price","High Price"))</f>
        <v>Medium Price</v>
      </c>
    </row>
    <row r="82" spans="1:10" ht="15.75" x14ac:dyDescent="0.25">
      <c r="A82" s="5" t="s">
        <v>95</v>
      </c>
      <c r="B82" s="14">
        <v>1758</v>
      </c>
      <c r="C82" s="14">
        <v>2499</v>
      </c>
      <c r="D82" s="1">
        <v>0.3</v>
      </c>
      <c r="E82" s="5">
        <v>20</v>
      </c>
      <c r="F82" s="9">
        <v>4.0999999999999996</v>
      </c>
      <c r="G82" s="14">
        <f>(C82-B82)</f>
        <v>741</v>
      </c>
      <c r="I82" s="12" t="str">
        <f>IF(D82&lt;20%,"Low Discount",IF(D82&lt;=40%,"Medium Discount","High Discount"))</f>
        <v>Medium Discount</v>
      </c>
      <c r="J82" t="str">
        <f>IF(B82&lt;1000,"Low Price",IF(B82&lt;=2000,"Medium Price","High Price"))</f>
        <v>Medium Price</v>
      </c>
    </row>
    <row r="83" spans="1:10" ht="15.75" x14ac:dyDescent="0.25">
      <c r="A83" s="5" t="s">
        <v>216</v>
      </c>
      <c r="B83" s="14">
        <v>2300</v>
      </c>
      <c r="C83" s="14">
        <v>3240</v>
      </c>
      <c r="D83" s="1">
        <v>0.28999999999999998</v>
      </c>
      <c r="E83" s="5">
        <v>5</v>
      </c>
      <c r="F83" s="9">
        <v>3</v>
      </c>
      <c r="G83" s="14">
        <f>(C83-B83)</f>
        <v>940</v>
      </c>
      <c r="I83" s="12" t="str">
        <f>IF(D83&lt;20%,"Low Discount",IF(D83&lt;=40%,"Medium Discount","High Discount"))</f>
        <v>Medium Discount</v>
      </c>
      <c r="J83" t="str">
        <f>IF(B83&lt;1000,"Low Price",IF(B83&lt;=2000,"Medium Price","High Price"))</f>
        <v>High Price</v>
      </c>
    </row>
    <row r="84" spans="1:10" ht="15.75" x14ac:dyDescent="0.25">
      <c r="A84" s="5" t="s">
        <v>112</v>
      </c>
      <c r="B84" s="14">
        <v>1980</v>
      </c>
      <c r="C84" s="14">
        <v>2699</v>
      </c>
      <c r="D84" s="1">
        <v>0.27</v>
      </c>
      <c r="E84" s="5">
        <v>32</v>
      </c>
      <c r="F84" s="9">
        <v>4.5</v>
      </c>
      <c r="G84" s="14">
        <f>(C84-B84)</f>
        <v>719</v>
      </c>
      <c r="I84" s="12" t="str">
        <f>IF(D84&lt;20%,"Low Discount",IF(D84&lt;=40%,"Medium Discount","High Discount"))</f>
        <v>Medium Discount</v>
      </c>
      <c r="J84" t="str">
        <f>IF(B84&lt;1000,"Low Price",IF(B84&lt;=2000,"Medium Price","High Price"))</f>
        <v>Medium Price</v>
      </c>
    </row>
    <row r="85" spans="1:10" ht="15.75" x14ac:dyDescent="0.25">
      <c r="A85" s="5" t="s">
        <v>109</v>
      </c>
      <c r="B85" s="14">
        <v>1940</v>
      </c>
      <c r="C85" s="14">
        <v>2650</v>
      </c>
      <c r="D85" s="1">
        <v>0.27</v>
      </c>
      <c r="E85" s="5">
        <v>20</v>
      </c>
      <c r="F85" s="9">
        <v>4.7</v>
      </c>
      <c r="G85" s="14">
        <f>(C85-B85)</f>
        <v>710</v>
      </c>
      <c r="I85" s="12" t="str">
        <f>IF(D85&lt;20%,"Low Discount",IF(D85&lt;=40%,"Medium Discount","High Discount"))</f>
        <v>Medium Discount</v>
      </c>
      <c r="J85" t="str">
        <f>IF(B85&lt;1000,"Low Price",IF(B85&lt;=2000,"Medium Price","High Price"))</f>
        <v>Medium Price</v>
      </c>
    </row>
    <row r="86" spans="1:10" ht="15.75" x14ac:dyDescent="0.25">
      <c r="A86" s="5" t="s">
        <v>175</v>
      </c>
      <c r="B86" s="14">
        <v>2799</v>
      </c>
      <c r="C86" s="14">
        <v>3810</v>
      </c>
      <c r="D86" s="1">
        <v>0.27</v>
      </c>
      <c r="G86" s="14">
        <f>(C86-B86)</f>
        <v>1011</v>
      </c>
      <c r="I86" s="12" t="str">
        <f>IF(D86&lt;20%,"Low Discount",IF(D86&lt;=40%,"Medium Discount","High Discount"))</f>
        <v>Medium Discount</v>
      </c>
      <c r="J86" t="str">
        <f>IF(B86&lt;1000,"Low Price",IF(B86&lt;=2000,"Medium Price","High Price"))</f>
        <v>High Price</v>
      </c>
    </row>
    <row r="87" spans="1:10" ht="15.75" x14ac:dyDescent="0.25">
      <c r="A87" s="5" t="s">
        <v>20</v>
      </c>
      <c r="B87" s="14">
        <v>1740</v>
      </c>
      <c r="C87" s="14">
        <v>2356</v>
      </c>
      <c r="D87" s="1">
        <v>0.26</v>
      </c>
      <c r="E87" s="5">
        <v>5</v>
      </c>
      <c r="F87" s="9">
        <v>4.8</v>
      </c>
      <c r="G87" s="14">
        <f>(C87-B87)</f>
        <v>616</v>
      </c>
      <c r="I87" s="12" t="str">
        <f>IF(D87&lt;20%,"Low Discount",IF(D87&lt;=40%,"Medium Discount","High Discount"))</f>
        <v>Medium Discount</v>
      </c>
      <c r="J87" t="str">
        <f>IF(B87&lt;1000,"Low Price",IF(B87&lt;=2000,"Medium Price","High Price"))</f>
        <v>Medium Price</v>
      </c>
    </row>
    <row r="88" spans="1:10" ht="15.75" x14ac:dyDescent="0.25">
      <c r="A88" s="5" t="s">
        <v>12</v>
      </c>
      <c r="B88" s="14">
        <v>2199</v>
      </c>
      <c r="C88" s="14">
        <v>2923</v>
      </c>
      <c r="D88" s="1">
        <v>0.25</v>
      </c>
      <c r="E88" s="5">
        <v>24</v>
      </c>
      <c r="F88" s="9">
        <v>4.5999999999999996</v>
      </c>
      <c r="G88" s="14">
        <f>(C88-B88)</f>
        <v>724</v>
      </c>
      <c r="I88" s="12" t="str">
        <f>IF(D88&lt;20%,"Low Discount",IF(D88&lt;=40%,"Medium Discount","High Discount"))</f>
        <v>Medium Discount</v>
      </c>
      <c r="J88" t="str">
        <f>IF(B88&lt;1000,"Low Price",IF(B88&lt;=2000,"Medium Price","High Price"))</f>
        <v>High Price</v>
      </c>
    </row>
    <row r="89" spans="1:10" ht="15.75" x14ac:dyDescent="0.25">
      <c r="A89" s="5" t="s">
        <v>28</v>
      </c>
      <c r="B89" s="14">
        <v>2319</v>
      </c>
      <c r="C89" s="14">
        <v>3032</v>
      </c>
      <c r="D89" s="1">
        <v>0.24</v>
      </c>
      <c r="E89" s="5">
        <v>55</v>
      </c>
      <c r="F89" s="9">
        <v>4.5999999999999996</v>
      </c>
      <c r="G89" s="14">
        <f>(C89-B89)</f>
        <v>713</v>
      </c>
      <c r="I89" s="12" t="str">
        <f>IF(D89&lt;20%,"Low Discount",IF(D89&lt;=40%,"Medium Discount","High Discount"))</f>
        <v>Medium Discount</v>
      </c>
      <c r="J89" t="str">
        <f>IF(B89&lt;1000,"Low Price",IF(B89&lt;=2000,"Medium Price","High Price"))</f>
        <v>High Price</v>
      </c>
    </row>
    <row r="90" spans="1:10" ht="15.75" x14ac:dyDescent="0.25">
      <c r="A90" s="5" t="s">
        <v>302</v>
      </c>
      <c r="B90" s="14">
        <v>198</v>
      </c>
      <c r="C90" s="14">
        <v>260</v>
      </c>
      <c r="D90" s="1">
        <v>0.24</v>
      </c>
      <c r="G90" s="14">
        <f>(C90-B90)</f>
        <v>62</v>
      </c>
      <c r="I90" s="12" t="str">
        <f>IF(D90&lt;20%,"Low Discount",IF(D90&lt;=40%,"Medium Discount","High Discount"))</f>
        <v>Medium Discount</v>
      </c>
      <c r="J90" t="str">
        <f>IF(B90&lt;1000,"Low Price",IF(B90&lt;=2000,"Medium Price","High Price"))</f>
        <v>Low Price</v>
      </c>
    </row>
    <row r="91" spans="1:10" ht="15.75" x14ac:dyDescent="0.25">
      <c r="A91" s="5" t="s">
        <v>79</v>
      </c>
      <c r="B91" s="14">
        <v>1650</v>
      </c>
      <c r="C91" s="14">
        <v>2150</v>
      </c>
      <c r="D91" s="1">
        <v>0.23</v>
      </c>
      <c r="E91" s="5">
        <v>14</v>
      </c>
      <c r="F91" s="9">
        <v>4.4000000000000004</v>
      </c>
      <c r="G91" s="14">
        <f>(C91-B91)</f>
        <v>500</v>
      </c>
      <c r="I91" s="12" t="str">
        <f>IF(D91&lt;20%,"Low Discount",IF(D91&lt;=40%,"Medium Discount","High Discount"))</f>
        <v>Medium Discount</v>
      </c>
      <c r="J91" t="str">
        <f>IF(B91&lt;1000,"Low Price",IF(B91&lt;=2000,"Medium Price","High Price"))</f>
        <v>Medium Price</v>
      </c>
    </row>
    <row r="92" spans="1:10" ht="15.75" x14ac:dyDescent="0.25">
      <c r="A92" s="5" t="s">
        <v>200</v>
      </c>
      <c r="B92" s="14">
        <v>1220</v>
      </c>
      <c r="C92" s="14">
        <v>1555</v>
      </c>
      <c r="D92" s="1">
        <v>0.22</v>
      </c>
      <c r="E92" s="5">
        <v>16</v>
      </c>
      <c r="F92" s="9">
        <v>2.9</v>
      </c>
      <c r="G92" s="14">
        <f>(C92-B92)</f>
        <v>335</v>
      </c>
      <c r="I92" s="12" t="str">
        <f>IF(D92&lt;20%,"Low Discount",IF(D92&lt;=40%,"Medium Discount","High Discount"))</f>
        <v>Medium Discount</v>
      </c>
      <c r="J92" t="str">
        <f>IF(B92&lt;1000,"Low Price",IF(B92&lt;=2000,"Medium Price","High Price"))</f>
        <v>Medium Price</v>
      </c>
    </row>
    <row r="93" spans="1:10" ht="15.75" x14ac:dyDescent="0.25">
      <c r="A93" s="5" t="s">
        <v>161</v>
      </c>
      <c r="B93" s="14">
        <v>299</v>
      </c>
      <c r="C93" s="14">
        <v>384</v>
      </c>
      <c r="D93" s="1">
        <v>0.22</v>
      </c>
      <c r="G93" s="14">
        <f>(C93-B93)</f>
        <v>85</v>
      </c>
      <c r="I93" s="12" t="str">
        <f>IF(D93&lt;20%,"Low Discount",IF(D93&lt;=40%,"Medium Discount","High Discount"))</f>
        <v>Medium Discount</v>
      </c>
      <c r="J93" t="str">
        <f>IF(B93&lt;1000,"Low Price",IF(B93&lt;=2000,"Medium Price","High Price"))</f>
        <v>Low Price</v>
      </c>
    </row>
    <row r="94" spans="1:10" ht="15.75" x14ac:dyDescent="0.25">
      <c r="A94" s="5" t="s">
        <v>293</v>
      </c>
      <c r="B94" s="14">
        <v>3640</v>
      </c>
      <c r="C94" s="14">
        <v>4588</v>
      </c>
      <c r="D94" s="1">
        <v>0.21</v>
      </c>
      <c r="E94" s="5">
        <v>1</v>
      </c>
      <c r="F94" s="9">
        <v>5</v>
      </c>
      <c r="G94" s="14">
        <f>(C94-B94)</f>
        <v>948</v>
      </c>
      <c r="I94" s="12" t="str">
        <f>IF(D94&lt;20%,"Low Discount",IF(D94&lt;=40%,"Medium Discount","High Discount"))</f>
        <v>Medium Discount</v>
      </c>
      <c r="J94" t="str">
        <f>IF(B94&lt;1000,"Low Price",IF(B94&lt;=2000,"Medium Price","High Price"))</f>
        <v>High Price</v>
      </c>
    </row>
    <row r="95" spans="1:10" ht="15.75" x14ac:dyDescent="0.25">
      <c r="A95" s="5" t="s">
        <v>40</v>
      </c>
      <c r="B95" s="14">
        <v>799</v>
      </c>
      <c r="C95" s="14">
        <v>999</v>
      </c>
      <c r="D95" s="1">
        <v>0.2</v>
      </c>
      <c r="E95" s="5">
        <v>12</v>
      </c>
      <c r="F95" s="9">
        <v>4.0999999999999996</v>
      </c>
      <c r="G95" s="14">
        <f>(C95-B95)</f>
        <v>200</v>
      </c>
      <c r="I95" s="12" t="str">
        <f>IF(D95&lt;20%,"Low Discount",IF(D95&lt;=40%,"Medium Discount","High Discount"))</f>
        <v>Medium Discount</v>
      </c>
      <c r="J95" t="str">
        <f>IF(B95&lt;1000,"Low Price",IF(B95&lt;=2000,"Medium Price","High Price"))</f>
        <v>Low Price</v>
      </c>
    </row>
    <row r="96" spans="1:10" ht="15.75" x14ac:dyDescent="0.25">
      <c r="A96" s="5" t="s">
        <v>64</v>
      </c>
      <c r="B96" s="14">
        <v>2999</v>
      </c>
      <c r="C96" s="14">
        <v>3699</v>
      </c>
      <c r="D96" s="1">
        <v>0.19</v>
      </c>
      <c r="E96" s="5">
        <v>5</v>
      </c>
      <c r="F96" s="9">
        <v>4.5999999999999996</v>
      </c>
      <c r="G96" s="14">
        <f>(C96-B96)</f>
        <v>700</v>
      </c>
      <c r="I96" s="12" t="str">
        <f>IF(D96&lt;20%,"Low Discount",IF(D96&lt;=40%,"Medium Discount","High Discount"))</f>
        <v>Low Discount</v>
      </c>
      <c r="J96" t="str">
        <f>IF(B96&lt;1000,"Low Price",IF(B96&lt;=2000,"Medium Price","High Price"))</f>
        <v>High Price</v>
      </c>
    </row>
    <row r="97" spans="1:10" ht="15.75" x14ac:dyDescent="0.25">
      <c r="A97" s="5" t="s">
        <v>90</v>
      </c>
      <c r="B97" s="14">
        <v>2880</v>
      </c>
      <c r="C97" s="14">
        <v>3520</v>
      </c>
      <c r="D97" s="1">
        <v>0.18</v>
      </c>
      <c r="E97" s="5">
        <v>12</v>
      </c>
      <c r="F97" s="9">
        <v>3.8</v>
      </c>
      <c r="G97" s="14">
        <f>(C97-B97)</f>
        <v>640</v>
      </c>
      <c r="I97" s="12" t="str">
        <f>IF(D97&lt;20%,"Low Discount",IF(D97&lt;=40%,"Medium Discount","High Discount"))</f>
        <v>Low Discount</v>
      </c>
      <c r="J97" t="str">
        <f>IF(B97&lt;1000,"Low Price",IF(B97&lt;=2000,"Medium Price","High Price"))</f>
        <v>High Price</v>
      </c>
    </row>
    <row r="98" spans="1:10" ht="15.75" x14ac:dyDescent="0.25">
      <c r="A98" s="5" t="s">
        <v>254</v>
      </c>
      <c r="B98" s="14">
        <v>1466</v>
      </c>
      <c r="C98" s="14">
        <v>1699</v>
      </c>
      <c r="D98" s="1">
        <v>0.14000000000000001</v>
      </c>
      <c r="G98" s="14">
        <f>(C98-B98)</f>
        <v>233</v>
      </c>
      <c r="I98" s="12" t="str">
        <f>IF(D98&lt;20%,"Low Discount",IF(D98&lt;=40%,"Medium Discount","High Discount"))</f>
        <v>Low Discount</v>
      </c>
      <c r="J98" t="str">
        <f>IF(B98&lt;1000,"Low Price",IF(B98&lt;=2000,"Medium Price","High Price"))</f>
        <v>Medium Price</v>
      </c>
    </row>
    <row r="99" spans="1:10" ht="15.75" x14ac:dyDescent="0.25">
      <c r="A99" s="5" t="s">
        <v>262</v>
      </c>
      <c r="B99" s="14">
        <v>1468</v>
      </c>
      <c r="C99" s="14">
        <v>1699</v>
      </c>
      <c r="D99" s="1">
        <v>0.14000000000000001</v>
      </c>
      <c r="G99" s="14">
        <f>(C99-B99)</f>
        <v>231</v>
      </c>
      <c r="I99" s="12" t="str">
        <f>IF(D99&lt;20%,"Low Discount",IF(D99&lt;=40%,"Medium Discount","High Discount"))</f>
        <v>Low Discount</v>
      </c>
      <c r="J99" t="str">
        <f>IF(B99&lt;1000,"Low Price",IF(B99&lt;=2000,"Medium Price","High Price"))</f>
        <v>Medium Price</v>
      </c>
    </row>
    <row r="100" spans="1:10" ht="15.75" x14ac:dyDescent="0.25">
      <c r="A100" s="5" t="s">
        <v>180</v>
      </c>
      <c r="B100" s="14">
        <v>2170</v>
      </c>
      <c r="C100" s="14">
        <v>2500</v>
      </c>
      <c r="D100" s="1">
        <v>0.13</v>
      </c>
      <c r="E100" s="5">
        <v>6</v>
      </c>
      <c r="F100" s="9">
        <v>2.5</v>
      </c>
      <c r="G100" s="14">
        <f>(C100-B100)</f>
        <v>330</v>
      </c>
      <c r="I100" s="12" t="str">
        <f>IF(D100&lt;20%,"Low Discount",IF(D100&lt;=40%,"Medium Discount","High Discount"))</f>
        <v>Low Discount</v>
      </c>
      <c r="J100" t="str">
        <f>IF(B100&lt;1000,"Low Price",IF(B100&lt;=2000,"Medium Price","High Price"))</f>
        <v>High Price</v>
      </c>
    </row>
    <row r="101" spans="1:10" ht="15.75" x14ac:dyDescent="0.25">
      <c r="A101" s="5" t="s">
        <v>259</v>
      </c>
      <c r="B101" s="14">
        <v>799</v>
      </c>
      <c r="C101" s="14">
        <v>900</v>
      </c>
      <c r="D101" s="1">
        <v>0.11</v>
      </c>
      <c r="G101" s="14">
        <f>(C101-B101)</f>
        <v>101</v>
      </c>
      <c r="I101" s="12" t="str">
        <f>IF(D101&lt;20%,"Low Discount",IF(D101&lt;=40%,"Medium Discount","High Discount"))</f>
        <v>Low Discount</v>
      </c>
      <c r="J101" t="str">
        <f>IF(B101&lt;1000,"Low Price",IF(B101&lt;=2000,"Medium Price","High Price"))</f>
        <v>Low Price</v>
      </c>
    </row>
    <row r="102" spans="1:10" ht="15.75" x14ac:dyDescent="0.25">
      <c r="A102" s="5" t="s">
        <v>24</v>
      </c>
      <c r="B102" s="14">
        <v>2999</v>
      </c>
      <c r="C102" s="14">
        <v>3290</v>
      </c>
      <c r="D102" s="1">
        <v>0.09</v>
      </c>
      <c r="E102" s="5">
        <v>15</v>
      </c>
      <c r="F102" s="9">
        <v>4</v>
      </c>
      <c r="G102" s="14">
        <f>(C102-B102)</f>
        <v>291</v>
      </c>
      <c r="I102" s="12" t="str">
        <f>IF(D102&lt;20%,"Low Discount",IF(D102&lt;=40%,"Medium Discount","High Discount"))</f>
        <v>Low Discount</v>
      </c>
      <c r="J102" t="str">
        <f>IF(B102&lt;1000,"Low Price",IF(B102&lt;=2000,"Medium Price","High Price"))</f>
        <v>High Price</v>
      </c>
    </row>
    <row r="103" spans="1:10" ht="15.75" x14ac:dyDescent="0.25">
      <c r="A103" s="5" t="s">
        <v>278</v>
      </c>
      <c r="B103" s="14">
        <v>1526</v>
      </c>
      <c r="C103" s="14">
        <v>1660</v>
      </c>
      <c r="D103" s="1">
        <v>0.08</v>
      </c>
      <c r="G103" s="14">
        <f>(C103-B103)</f>
        <v>134</v>
      </c>
      <c r="I103" s="12" t="str">
        <f>IF(D103&lt;20%,"Low Discount",IF(D103&lt;=40%,"Medium Discount","High Discount"))</f>
        <v>Low Discount</v>
      </c>
      <c r="J103" t="str">
        <f>IF(B103&lt;1000,"Low Price",IF(B103&lt;=2000,"Medium Price","High Price"))</f>
        <v>Medium Price</v>
      </c>
    </row>
    <row r="104" spans="1:10" ht="15.75" x14ac:dyDescent="0.25">
      <c r="A104" s="5" t="s">
        <v>235</v>
      </c>
      <c r="B104" s="14">
        <v>1732</v>
      </c>
      <c r="C104" s="14">
        <v>1799</v>
      </c>
      <c r="D104" s="1">
        <v>0.04</v>
      </c>
      <c r="G104" s="14">
        <f>(C104-B104)</f>
        <v>67</v>
      </c>
      <c r="I104" s="12" t="str">
        <f>IF(D104&lt;20%,"Low Discount",IF(D104&lt;=40%,"Medium Discount","High Discount"))</f>
        <v>Low Discount</v>
      </c>
      <c r="J104" t="str">
        <f>IF(B104&lt;1000,"Low Price",IF(B104&lt;=2000,"Medium Price","High Price"))</f>
        <v>Medium Price</v>
      </c>
    </row>
    <row r="105" spans="1:10" ht="15.75" x14ac:dyDescent="0.25">
      <c r="A105" s="5" t="s">
        <v>285</v>
      </c>
      <c r="B105" s="14">
        <v>3546</v>
      </c>
      <c r="C105" s="14">
        <v>3699</v>
      </c>
      <c r="D105" s="1">
        <v>0.04</v>
      </c>
      <c r="G105" s="14">
        <f>(C105-B105)</f>
        <v>153</v>
      </c>
      <c r="I105" s="12" t="str">
        <f>IF(D105&lt;20%,"Low Discount",IF(D105&lt;=40%,"Medium Discount","High Discount"))</f>
        <v>Low Discount</v>
      </c>
      <c r="J105" t="str">
        <f>IF(B105&lt;1000,"Low Price",IF(B105&lt;=2000,"Medium Price","High Price"))</f>
        <v>High Price</v>
      </c>
    </row>
    <row r="106" spans="1:10" ht="15.75" x14ac:dyDescent="0.25">
      <c r="A106" s="5" t="s">
        <v>163</v>
      </c>
      <c r="B106" s="14">
        <v>1459</v>
      </c>
      <c r="C106" s="14">
        <v>1499</v>
      </c>
      <c r="D106" s="1">
        <v>0.03</v>
      </c>
      <c r="G106" s="14">
        <f>(C106-B106)</f>
        <v>40</v>
      </c>
      <c r="I106" s="12" t="str">
        <f>IF(D106&lt;20%,"Low Discount",IF(D106&lt;=40%,"Medium Discount","High Discount"))</f>
        <v>Low Discount</v>
      </c>
      <c r="J106" t="str">
        <f>IF(B106&lt;1000,"Low Price",IF(B106&lt;=2000,"Medium Price","High Price"))</f>
        <v>Medium Price</v>
      </c>
    </row>
    <row r="107" spans="1:10" ht="15.75" x14ac:dyDescent="0.25">
      <c r="A107" s="5" t="s">
        <v>280</v>
      </c>
      <c r="B107" s="14">
        <v>1462</v>
      </c>
      <c r="C107" s="14">
        <v>1499</v>
      </c>
      <c r="D107" s="1">
        <v>0.02</v>
      </c>
      <c r="G107" s="14">
        <f>(C107-B107)</f>
        <v>37</v>
      </c>
      <c r="I107" s="12" t="str">
        <f>IF(D107&lt;20%,"Low Discount",IF(D107&lt;=40%,"Medium Discount","High Discount"))</f>
        <v>Low Discount</v>
      </c>
      <c r="J107" t="str">
        <f>IF(B107&lt;1000,"Low Price",IF(B107&lt;=2000,"Medium Price","High Price"))</f>
        <v>Medium Price</v>
      </c>
    </row>
    <row r="108" spans="1:10" ht="15.75" x14ac:dyDescent="0.25">
      <c r="A108" s="5" t="s">
        <v>310</v>
      </c>
      <c r="B108" s="14">
        <v>1658</v>
      </c>
      <c r="C108" s="14">
        <v>1699</v>
      </c>
      <c r="D108" s="1">
        <v>0.02</v>
      </c>
      <c r="G108" s="14">
        <f>(C108-B108)</f>
        <v>41</v>
      </c>
      <c r="I108" s="12" t="str">
        <f>IF(D108&lt;20%,"Low Discount",IF(D108&lt;=40%,"Medium Discount","High Discount"))</f>
        <v>Low Discount</v>
      </c>
      <c r="J108" t="str">
        <f>IF(B108&lt;1000,"Low Price",IF(B108&lt;=2000,"Medium Price","High Price"))</f>
        <v>Medium Price</v>
      </c>
    </row>
    <row r="109" spans="1:10" ht="15.75" x14ac:dyDescent="0.25">
      <c r="A109" s="5" t="s">
        <v>158</v>
      </c>
      <c r="B109" s="14">
        <v>1660</v>
      </c>
      <c r="C109" s="14">
        <v>1699</v>
      </c>
      <c r="D109" s="1">
        <v>0.02</v>
      </c>
      <c r="G109" s="14">
        <f>(C109-B109)</f>
        <v>39</v>
      </c>
      <c r="I109" s="12" t="str">
        <f>IF(D109&lt;20%,"Low Discount",IF(D109&lt;=40%,"Medium Discount","High Discount"))</f>
        <v>Low Discount</v>
      </c>
      <c r="J109" t="str">
        <f>IF(B109&lt;1000,"Low Price",IF(B109&lt;=2000,"Medium Price","High Price"))</f>
        <v>Medium Price</v>
      </c>
    </row>
    <row r="110" spans="1:10" ht="15.75" x14ac:dyDescent="0.25">
      <c r="A110" s="5" t="s">
        <v>249</v>
      </c>
      <c r="B110" s="14">
        <v>1666</v>
      </c>
      <c r="C110" s="14">
        <v>1699</v>
      </c>
      <c r="D110" s="1">
        <v>0.02</v>
      </c>
      <c r="G110" s="14">
        <f>(C110-B110)</f>
        <v>33</v>
      </c>
      <c r="I110" s="12" t="str">
        <f>IF(D110&lt;20%,"Low Discount",IF(D110&lt;=40%,"Medium Discount","High Discount"))</f>
        <v>Low Discount</v>
      </c>
      <c r="J110" t="str">
        <f>IF(B110&lt;1000,"Low Price",IF(B110&lt;=2000,"Medium Price","High Price"))</f>
        <v>Medium Price</v>
      </c>
    </row>
    <row r="111" spans="1:10" ht="15.75" x14ac:dyDescent="0.25">
      <c r="A111" s="5" t="s">
        <v>312</v>
      </c>
      <c r="B111" s="14">
        <v>1768</v>
      </c>
      <c r="C111" s="14">
        <v>1799</v>
      </c>
      <c r="D111" s="1">
        <v>0.02</v>
      </c>
      <c r="G111" s="14">
        <f>(C111-B111)</f>
        <v>31</v>
      </c>
      <c r="I111" s="12" t="str">
        <f>IF(D111&lt;20%,"Low Discount",IF(D111&lt;=40%,"Medium Discount","High Discount"))</f>
        <v>Low Discount</v>
      </c>
      <c r="J111" t="str">
        <f>IF(B111&lt;1000,"Low Price",IF(B111&lt;=2000,"Medium Price","High Price"))</f>
        <v>Medium Price</v>
      </c>
    </row>
    <row r="112" spans="1:10" ht="15.75" x14ac:dyDescent="0.25">
      <c r="A112" s="5" t="s">
        <v>138</v>
      </c>
      <c r="B112" s="14">
        <v>2132</v>
      </c>
      <c r="C112" s="14">
        <v>2169</v>
      </c>
      <c r="D112" s="1">
        <v>0.02</v>
      </c>
      <c r="G112" s="14">
        <f>(C112-B112)</f>
        <v>37</v>
      </c>
      <c r="I112" s="12" t="str">
        <f>IF(D112&lt;20%,"Low Discount",IF(D112&lt;=40%,"Medium Discount","High Discount"))</f>
        <v>Low Discount</v>
      </c>
      <c r="J112" t="str">
        <f>IF(B112&lt;1000,"Low Price",IF(B112&lt;=2000,"Medium Price","High Price"))</f>
        <v>High Price</v>
      </c>
    </row>
    <row r="113" spans="1:9" ht="15.75" x14ac:dyDescent="0.25">
      <c r="A113" s="5" t="s">
        <v>299</v>
      </c>
      <c r="B113" s="14">
        <v>1875</v>
      </c>
      <c r="C113" s="14">
        <v>1899</v>
      </c>
      <c r="D113" s="1">
        <v>0.01</v>
      </c>
      <c r="I113" s="12"/>
    </row>
    <row r="114" spans="1:9" ht="15.75" x14ac:dyDescent="0.25">
      <c r="I114" s="12"/>
    </row>
    <row r="115" spans="1:9" ht="15.75" x14ac:dyDescent="0.25">
      <c r="I115" s="12"/>
    </row>
    <row r="116" spans="1:9" ht="15.75" x14ac:dyDescent="0.25">
      <c r="I116" s="12"/>
    </row>
    <row r="117" spans="1:9" ht="15.75" x14ac:dyDescent="0.25">
      <c r="I117" s="12"/>
    </row>
  </sheetData>
  <sortState xmlns:xlrd2="http://schemas.microsoft.com/office/spreadsheetml/2017/richdata2" ref="A2:J119">
    <sortCondition descending="1" ref="E1:E119"/>
  </sortState>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3D00CE-4057-4240-A4C1-574FC87CC28F}">
  <dimension ref="A3:B7"/>
  <sheetViews>
    <sheetView workbookViewId="0">
      <selection activeCell="B6" sqref="B6"/>
    </sheetView>
  </sheetViews>
  <sheetFormatPr defaultRowHeight="15" x14ac:dyDescent="0.25"/>
  <cols>
    <col min="1" max="1" width="16.5703125" bestFit="1" customWidth="1"/>
    <col min="2" max="2" width="16.42578125" bestFit="1" customWidth="1"/>
  </cols>
  <sheetData>
    <row r="3" spans="1:2" x14ac:dyDescent="0.25">
      <c r="A3" s="23" t="s">
        <v>337</v>
      </c>
      <c r="B3" t="s">
        <v>348</v>
      </c>
    </row>
    <row r="4" spans="1:2" x14ac:dyDescent="0.25">
      <c r="A4" s="24" t="s">
        <v>339</v>
      </c>
      <c r="B4" s="11">
        <v>62</v>
      </c>
    </row>
    <row r="5" spans="1:2" x14ac:dyDescent="0.25">
      <c r="A5" s="24" t="s">
        <v>340</v>
      </c>
      <c r="B5" s="11">
        <v>18</v>
      </c>
    </row>
    <row r="6" spans="1:2" x14ac:dyDescent="0.25">
      <c r="A6" s="24" t="s">
        <v>341</v>
      </c>
      <c r="B6" s="11">
        <v>31</v>
      </c>
    </row>
    <row r="7" spans="1:2" x14ac:dyDescent="0.25">
      <c r="A7" s="24" t="s">
        <v>338</v>
      </c>
      <c r="B7" s="11">
        <v>111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1CF4E5-5518-478C-AF6E-E35EBAF6BE92}">
  <dimension ref="A2:D7"/>
  <sheetViews>
    <sheetView workbookViewId="0">
      <selection activeCell="D5" sqref="D5"/>
    </sheetView>
  </sheetViews>
  <sheetFormatPr defaultRowHeight="15" x14ac:dyDescent="0.25"/>
  <cols>
    <col min="1" max="1" width="15.42578125" bestFit="1" customWidth="1"/>
    <col min="2" max="2" width="16.42578125" bestFit="1" customWidth="1"/>
    <col min="3" max="3" width="17.7109375" bestFit="1" customWidth="1"/>
    <col min="4" max="4" width="17.85546875" bestFit="1" customWidth="1"/>
    <col min="5" max="5" width="31.42578125" bestFit="1" customWidth="1"/>
    <col min="6" max="6" width="64" bestFit="1" customWidth="1"/>
    <col min="7" max="7" width="34.85546875" bestFit="1" customWidth="1"/>
    <col min="8" max="8" width="49.28515625" bestFit="1" customWidth="1"/>
    <col min="9" max="9" width="65" bestFit="1" customWidth="1"/>
    <col min="10" max="10" width="73" bestFit="1" customWidth="1"/>
    <col min="11" max="11" width="57.28515625" bestFit="1" customWidth="1"/>
    <col min="12" max="12" width="49" bestFit="1" customWidth="1"/>
    <col min="13" max="13" width="51.5703125" bestFit="1" customWidth="1"/>
    <col min="14" max="14" width="38.140625" bestFit="1" customWidth="1"/>
    <col min="15" max="15" width="50.140625" bestFit="1" customWidth="1"/>
    <col min="16" max="16" width="55.28515625" bestFit="1" customWidth="1"/>
    <col min="17" max="17" width="57.28515625" bestFit="1" customWidth="1"/>
    <col min="18" max="18" width="57.5703125" bestFit="1" customWidth="1"/>
    <col min="19" max="20" width="55.5703125" bestFit="1" customWidth="1"/>
    <col min="21" max="21" width="51.5703125" bestFit="1" customWidth="1"/>
    <col min="22" max="22" width="52.85546875" bestFit="1" customWidth="1"/>
    <col min="23" max="23" width="56.7109375" bestFit="1" customWidth="1"/>
    <col min="24" max="24" width="68.5703125" bestFit="1" customWidth="1"/>
    <col min="25" max="25" width="53.85546875" bestFit="1" customWidth="1"/>
    <col min="26" max="26" width="53.7109375" bestFit="1" customWidth="1"/>
    <col min="27" max="27" width="71.42578125" bestFit="1" customWidth="1"/>
    <col min="28" max="28" width="73.140625" bestFit="1" customWidth="1"/>
    <col min="29" max="29" width="38.5703125" bestFit="1" customWidth="1"/>
    <col min="30" max="30" width="38.85546875" bestFit="1" customWidth="1"/>
    <col min="31" max="31" width="28" bestFit="1" customWidth="1"/>
    <col min="32" max="32" width="75.28515625" bestFit="1" customWidth="1"/>
    <col min="33" max="33" width="33.5703125" bestFit="1" customWidth="1"/>
    <col min="34" max="34" width="58" bestFit="1" customWidth="1"/>
    <col min="35" max="35" width="68.28515625" bestFit="1" customWidth="1"/>
    <col min="36" max="36" width="51.140625" bestFit="1" customWidth="1"/>
    <col min="37" max="37" width="43" bestFit="1" customWidth="1"/>
    <col min="38" max="38" width="47.5703125" bestFit="1" customWidth="1"/>
    <col min="39" max="39" width="40.5703125" bestFit="1" customWidth="1"/>
    <col min="40" max="40" width="36" bestFit="1" customWidth="1"/>
    <col min="41" max="41" width="72.5703125" bestFit="1" customWidth="1"/>
    <col min="42" max="42" width="76.85546875" bestFit="1" customWidth="1"/>
    <col min="43" max="43" width="61.140625" bestFit="1" customWidth="1"/>
    <col min="44" max="44" width="57.140625" bestFit="1" customWidth="1"/>
    <col min="45" max="45" width="74.140625" bestFit="1" customWidth="1"/>
    <col min="46" max="46" width="46.7109375" bestFit="1" customWidth="1"/>
    <col min="47" max="47" width="75" bestFit="1" customWidth="1"/>
    <col min="48" max="48" width="47.5703125" bestFit="1" customWidth="1"/>
    <col min="49" max="49" width="52.85546875" bestFit="1" customWidth="1"/>
    <col min="50" max="50" width="47" bestFit="1" customWidth="1"/>
    <col min="51" max="51" width="68.85546875" bestFit="1" customWidth="1"/>
    <col min="52" max="52" width="67.140625" bestFit="1" customWidth="1"/>
    <col min="53" max="53" width="79.42578125" bestFit="1" customWidth="1"/>
    <col min="54" max="54" width="41.140625" bestFit="1" customWidth="1"/>
    <col min="55" max="55" width="46.7109375" bestFit="1" customWidth="1"/>
    <col min="56" max="56" width="54.28515625" bestFit="1" customWidth="1"/>
    <col min="57" max="57" width="62.28515625" bestFit="1" customWidth="1"/>
    <col min="58" max="58" width="11.28515625" bestFit="1" customWidth="1"/>
  </cols>
  <sheetData>
    <row r="2" spans="1:4" x14ac:dyDescent="0.25">
      <c r="A2" s="25" t="s">
        <v>324</v>
      </c>
    </row>
    <row r="3" spans="1:4" x14ac:dyDescent="0.25">
      <c r="A3" s="23" t="s">
        <v>337</v>
      </c>
      <c r="B3" s="16" t="s">
        <v>348</v>
      </c>
      <c r="C3" s="16" t="s">
        <v>349</v>
      </c>
      <c r="D3" s="16" t="s">
        <v>350</v>
      </c>
    </row>
    <row r="4" spans="1:4" x14ac:dyDescent="0.25">
      <c r="A4" s="24" t="s">
        <v>343</v>
      </c>
      <c r="B4" s="11">
        <v>22</v>
      </c>
      <c r="C4" s="9">
        <v>10.136363636363637</v>
      </c>
      <c r="D4" s="9">
        <v>3.8090909090909091</v>
      </c>
    </row>
    <row r="5" spans="1:4" x14ac:dyDescent="0.25">
      <c r="A5" s="24" t="s">
        <v>344</v>
      </c>
      <c r="B5" s="11">
        <v>22</v>
      </c>
      <c r="C5" s="9">
        <v>14.954545454545455</v>
      </c>
      <c r="D5" s="9">
        <v>4.7590909090909079</v>
      </c>
    </row>
    <row r="6" spans="1:4" x14ac:dyDescent="0.25">
      <c r="A6" s="24" t="s">
        <v>345</v>
      </c>
      <c r="B6" s="11">
        <v>12</v>
      </c>
      <c r="C6" s="9">
        <v>14.083333333333334</v>
      </c>
      <c r="D6" s="9">
        <v>2.3916666666666666</v>
      </c>
    </row>
    <row r="7" spans="1:4" x14ac:dyDescent="0.25">
      <c r="A7" s="24" t="s">
        <v>338</v>
      </c>
      <c r="B7" s="11">
        <v>56</v>
      </c>
      <c r="C7" s="9">
        <v>12.875</v>
      </c>
      <c r="D7" s="9">
        <v>3.8785714285714272</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7180B6-7279-4CAE-AD37-4C52A9BC738D}">
  <dimension ref="A3:B6"/>
  <sheetViews>
    <sheetView workbookViewId="0">
      <selection activeCell="J6" sqref="J6"/>
    </sheetView>
  </sheetViews>
  <sheetFormatPr defaultRowHeight="15" x14ac:dyDescent="0.25"/>
  <cols>
    <col min="1" max="1" width="16.5703125" bestFit="1" customWidth="1"/>
    <col min="2" max="2" width="16.42578125" bestFit="1" customWidth="1"/>
    <col min="3" max="3" width="14.42578125" bestFit="1" customWidth="1"/>
  </cols>
  <sheetData>
    <row r="3" spans="1:2" x14ac:dyDescent="0.25">
      <c r="A3" s="23" t="s">
        <v>337</v>
      </c>
      <c r="B3" t="s">
        <v>348</v>
      </c>
    </row>
    <row r="4" spans="1:2" x14ac:dyDescent="0.25">
      <c r="A4" s="24" t="s">
        <v>339</v>
      </c>
      <c r="B4" s="11">
        <v>1</v>
      </c>
    </row>
    <row r="5" spans="1:2" x14ac:dyDescent="0.25">
      <c r="A5" s="24" t="s">
        <v>341</v>
      </c>
      <c r="B5" s="11">
        <v>5</v>
      </c>
    </row>
    <row r="6" spans="1:2" x14ac:dyDescent="0.25">
      <c r="A6" s="24" t="s">
        <v>338</v>
      </c>
      <c r="B6" s="11">
        <v>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58E7F2-3453-4F3F-9048-53C51F1BC77D}">
  <dimension ref="A1:L117"/>
  <sheetViews>
    <sheetView topLeftCell="A2" workbookViewId="0">
      <selection activeCell="A5" sqref="A5"/>
    </sheetView>
  </sheetViews>
  <sheetFormatPr defaultRowHeight="15" x14ac:dyDescent="0.25"/>
  <cols>
    <col min="1" max="1" width="95" style="5" bestFit="1" customWidth="1"/>
    <col min="2" max="2" width="15.5703125" style="14" bestFit="1" customWidth="1"/>
    <col min="3" max="3" width="19.42578125" style="14" bestFit="1" customWidth="1"/>
    <col min="4" max="4" width="11.5703125" style="1" bestFit="1" customWidth="1"/>
    <col min="5" max="5" width="10" style="5" bestFit="1" customWidth="1"/>
    <col min="6" max="6" width="10.42578125" style="9" bestFit="1" customWidth="1"/>
    <col min="7" max="7" width="18.7109375" style="36" customWidth="1"/>
    <col min="8" max="8" width="17.42578125" style="11" customWidth="1"/>
    <col min="9" max="9" width="19.85546875" style="16" customWidth="1"/>
    <col min="10" max="10" width="16.28515625" style="16" customWidth="1"/>
    <col min="11" max="11" width="9.140625" style="16"/>
    <col min="12" max="12" width="11.42578125" style="16" bestFit="1" customWidth="1"/>
    <col min="13" max="16384" width="9.140625" style="16"/>
  </cols>
  <sheetData>
    <row r="1" spans="1:12" ht="15.75" x14ac:dyDescent="0.25">
      <c r="A1" s="4" t="s">
        <v>0</v>
      </c>
      <c r="B1" s="13" t="s">
        <v>1</v>
      </c>
      <c r="C1" s="13" t="s">
        <v>321</v>
      </c>
      <c r="D1" s="3" t="s">
        <v>2</v>
      </c>
      <c r="E1" s="4" t="s">
        <v>3</v>
      </c>
      <c r="F1" s="8" t="s">
        <v>322</v>
      </c>
      <c r="G1" s="35" t="s">
        <v>323</v>
      </c>
      <c r="H1" s="10" t="s">
        <v>324</v>
      </c>
      <c r="I1" s="6" t="s">
        <v>325</v>
      </c>
      <c r="J1" s="6" t="s">
        <v>326</v>
      </c>
      <c r="K1" s="6" t="s">
        <v>346</v>
      </c>
      <c r="L1" s="16" t="s">
        <v>352</v>
      </c>
    </row>
    <row r="2" spans="1:12" ht="15.75" x14ac:dyDescent="0.25">
      <c r="A2" s="5" t="s">
        <v>243</v>
      </c>
      <c r="B2" s="14">
        <v>979</v>
      </c>
      <c r="C2" s="14">
        <v>1920</v>
      </c>
      <c r="D2" s="1">
        <v>0.49</v>
      </c>
      <c r="E2" s="5">
        <v>1</v>
      </c>
      <c r="F2" s="9">
        <v>5</v>
      </c>
      <c r="G2" s="36">
        <f>(C2-B2)</f>
        <v>941</v>
      </c>
      <c r="H2" s="11" t="str">
        <f>IF(F2&lt;3,"Poor",IF(F2&lt;=4.4,"Average","Excellent"))</f>
        <v>Excellent</v>
      </c>
      <c r="I2" s="12" t="str">
        <f>IF(D2&lt;20%,"Low Discount",IF(D2&lt;=40%,"Medium Discount","High Discount"))</f>
        <v>High Discount</v>
      </c>
      <c r="J2" s="16" t="str">
        <f>IF(B2&lt;1000,"Low Price",IF(B2&lt;=2000,"Medium Price","High Price"))</f>
        <v>Low Price</v>
      </c>
    </row>
    <row r="3" spans="1:12" ht="15.75" x14ac:dyDescent="0.25">
      <c r="A3" s="5" t="s">
        <v>115</v>
      </c>
      <c r="B3" s="14">
        <v>1620</v>
      </c>
      <c r="C3" s="14">
        <v>2690</v>
      </c>
      <c r="D3" s="1">
        <v>0.4</v>
      </c>
      <c r="E3" s="5">
        <v>1</v>
      </c>
      <c r="F3" s="9">
        <v>5</v>
      </c>
      <c r="G3" s="36">
        <f>(C3-B3)</f>
        <v>1070</v>
      </c>
      <c r="H3" s="11" t="str">
        <f>IF(F3&lt;3,"Poor",IF(F3&lt;=4.4,"Average","Excellent"))</f>
        <v>Excellent</v>
      </c>
      <c r="I3" s="12" t="str">
        <f>IF(D3&lt;20%,"Low Discount",IF(D3&lt;=40%,"Medium Discount","High Discount"))</f>
        <v>Medium Discount</v>
      </c>
      <c r="J3" s="16" t="str">
        <f>IF(B3&lt;1000,"Low Price",IF(B3&lt;=2000,"Medium Price","High Price"))</f>
        <v>Medium Price</v>
      </c>
    </row>
    <row r="4" spans="1:12" ht="15.75" x14ac:dyDescent="0.25">
      <c r="A4" s="5" t="s">
        <v>293</v>
      </c>
      <c r="B4" s="14">
        <v>3640</v>
      </c>
      <c r="C4" s="14">
        <v>4588</v>
      </c>
      <c r="D4" s="1">
        <v>0.21</v>
      </c>
      <c r="E4" s="5">
        <v>1</v>
      </c>
      <c r="F4" s="9">
        <v>5</v>
      </c>
      <c r="G4" s="36">
        <f>(C4-B4)</f>
        <v>948</v>
      </c>
      <c r="H4" s="11" t="str">
        <f>IF(F4&lt;3,"Poor",IF(F4&lt;=4.4,"Average","Excellent"))</f>
        <v>Excellent</v>
      </c>
      <c r="I4" s="12" t="str">
        <f>IF(D4&lt;20%,"Low Discount",IF(D4&lt;=40%,"Medium Discount","High Discount"))</f>
        <v>Medium Discount</v>
      </c>
      <c r="J4" s="16" t="str">
        <f>IF(B4&lt;1000,"Low Price",IF(B4&lt;=2000,"Medium Price","High Price"))</f>
        <v>High Price</v>
      </c>
    </row>
    <row r="5" spans="1:12" ht="15.75" x14ac:dyDescent="0.25">
      <c r="A5" s="5" t="s">
        <v>118</v>
      </c>
      <c r="B5" s="14">
        <v>171</v>
      </c>
      <c r="C5" s="14">
        <v>360</v>
      </c>
      <c r="D5" s="1">
        <v>0.53</v>
      </c>
      <c r="E5" s="5">
        <v>2</v>
      </c>
      <c r="F5" s="9">
        <v>5</v>
      </c>
      <c r="G5" s="36">
        <f>(C5-B5)</f>
        <v>189</v>
      </c>
      <c r="H5" s="11" t="str">
        <f>IF(F5&lt;3,"Poor",IF(F5&lt;=4.4,"Average","Excellent"))</f>
        <v>Excellent</v>
      </c>
      <c r="I5" s="12" t="str">
        <f>IF(D5&lt;20%,"Low Discount",IF(D5&lt;=40%,"Medium Discount","High Discount"))</f>
        <v>High Discount</v>
      </c>
      <c r="J5" s="16" t="str">
        <f>IF(B5&lt;1000,"Low Price",IF(B5&lt;=2000,"Medium Price","High Price"))</f>
        <v>Low Price</v>
      </c>
    </row>
    <row r="6" spans="1:12" ht="15.75" x14ac:dyDescent="0.25">
      <c r="A6" s="5" t="s">
        <v>54</v>
      </c>
      <c r="B6" s="14">
        <v>332</v>
      </c>
      <c r="C6" s="14">
        <v>684</v>
      </c>
      <c r="D6" s="1">
        <v>0.51</v>
      </c>
      <c r="E6" s="5">
        <v>2</v>
      </c>
      <c r="F6" s="9">
        <v>5</v>
      </c>
      <c r="G6" s="36">
        <f>(C6-B6)</f>
        <v>352</v>
      </c>
      <c r="H6" s="11" t="str">
        <f>IF(F6&lt;3,"Poor",IF(F6&lt;=4.4,"Average","Excellent"))</f>
        <v>Excellent</v>
      </c>
      <c r="I6" s="12" t="str">
        <f>IF(D6&lt;20%,"Low Discount",IF(D6&lt;=40%,"Medium Discount","High Discount"))</f>
        <v>High Discount</v>
      </c>
      <c r="J6" s="16" t="str">
        <f>IF(B6&lt;1000,"Low Price",IF(B6&lt;=2000,"Medium Price","High Price"))</f>
        <v>Low Price</v>
      </c>
    </row>
    <row r="7" spans="1:12" ht="15.75" x14ac:dyDescent="0.25">
      <c r="A7" s="5" t="s">
        <v>58</v>
      </c>
      <c r="B7" s="14">
        <v>195</v>
      </c>
      <c r="C7" s="14">
        <v>360</v>
      </c>
      <c r="D7" s="1">
        <v>0.46</v>
      </c>
      <c r="E7" s="5">
        <v>2</v>
      </c>
      <c r="F7" s="9">
        <v>5</v>
      </c>
      <c r="G7" s="36">
        <f>(C7-B7)</f>
        <v>165</v>
      </c>
      <c r="H7" s="11" t="str">
        <f>IF(F7&lt;3,"Poor",IF(F7&lt;=4.4,"Average","Excellent"))</f>
        <v>Excellent</v>
      </c>
      <c r="I7" s="12" t="str">
        <f>IF(D7&lt;20%,"Low Discount",IF(D7&lt;=40%,"Medium Discount","High Discount"))</f>
        <v>High Discount</v>
      </c>
      <c r="J7" s="16" t="str">
        <f>IF(B7&lt;1000,"Low Price",IF(B7&lt;=2000,"Medium Price","High Price"))</f>
        <v>Low Price</v>
      </c>
    </row>
    <row r="8" spans="1:12" ht="15.75" x14ac:dyDescent="0.25">
      <c r="A8" s="5" t="s">
        <v>61</v>
      </c>
      <c r="B8" s="14">
        <v>2025</v>
      </c>
      <c r="C8" s="14">
        <v>3971</v>
      </c>
      <c r="D8" s="1">
        <v>0.49</v>
      </c>
      <c r="E8" s="5">
        <v>3</v>
      </c>
      <c r="F8" s="9">
        <v>5</v>
      </c>
      <c r="G8" s="36">
        <f>(C8-B8)</f>
        <v>1946</v>
      </c>
      <c r="H8" s="11" t="str">
        <f>IF(F8&lt;3,"Poor",IF(F8&lt;=4.4,"Average","Excellent"))</f>
        <v>Excellent</v>
      </c>
      <c r="I8" s="12" t="str">
        <f>IF(D8&lt;20%,"Low Discount",IF(D8&lt;=40%,"Medium Discount","High Discount"))</f>
        <v>High Discount</v>
      </c>
      <c r="J8" s="16" t="str">
        <f>IF(B8&lt;1000,"Low Price",IF(B8&lt;=2000,"Medium Price","High Price"))</f>
        <v>High Price</v>
      </c>
    </row>
    <row r="9" spans="1:12" ht="15.75" x14ac:dyDescent="0.25">
      <c r="A9" s="5" t="s">
        <v>33</v>
      </c>
      <c r="B9" s="14">
        <v>1274</v>
      </c>
      <c r="C9" s="14">
        <v>2800</v>
      </c>
      <c r="D9" s="1">
        <v>0.55000000000000004</v>
      </c>
      <c r="E9" s="5">
        <v>5</v>
      </c>
      <c r="F9" s="9">
        <v>4.8</v>
      </c>
      <c r="G9" s="36">
        <f>(C9-B9)</f>
        <v>1526</v>
      </c>
      <c r="H9" s="11" t="str">
        <f>IF(F9&lt;3,"Poor",IF(F9&lt;=4.4,"Average","Excellent"))</f>
        <v>Excellent</v>
      </c>
      <c r="I9" s="12" t="str">
        <f>IF(D9&lt;20%,"Low Discount",IF(D9&lt;=40%,"Medium Discount","High Discount"))</f>
        <v>High Discount</v>
      </c>
      <c r="J9" s="16" t="str">
        <f>IF(B9&lt;1000,"Low Price",IF(B9&lt;=2000,"Medium Price","High Price"))</f>
        <v>Medium Price</v>
      </c>
    </row>
    <row r="10" spans="1:12" ht="15.75" x14ac:dyDescent="0.25">
      <c r="A10" s="5" t="s">
        <v>20</v>
      </c>
      <c r="B10" s="14">
        <v>1740</v>
      </c>
      <c r="C10" s="14">
        <v>2356</v>
      </c>
      <c r="D10" s="1">
        <v>0.26</v>
      </c>
      <c r="E10" s="5">
        <v>5</v>
      </c>
      <c r="F10" s="9">
        <v>4.8</v>
      </c>
      <c r="G10" s="36">
        <f>(C10-B10)</f>
        <v>616</v>
      </c>
      <c r="H10" s="11" t="str">
        <f>IF(F10&lt;3,"Poor",IF(F10&lt;=4.4,"Average","Excellent"))</f>
        <v>Excellent</v>
      </c>
      <c r="I10" s="12" t="str">
        <f>IF(D10&lt;20%,"Low Discount",IF(D10&lt;=40%,"Medium Discount","High Discount"))</f>
        <v>Medium Discount</v>
      </c>
      <c r="J10" s="16" t="str">
        <f>IF(B10&lt;1000,"Low Price",IF(B10&lt;=2000,"Medium Price","High Price"))</f>
        <v>Medium Price</v>
      </c>
    </row>
    <row r="11" spans="1:12" ht="15.75" x14ac:dyDescent="0.25">
      <c r="A11" s="5" t="s">
        <v>45</v>
      </c>
      <c r="B11" s="14">
        <v>552</v>
      </c>
      <c r="C11" s="14">
        <v>1035</v>
      </c>
      <c r="D11" s="1">
        <v>0.47</v>
      </c>
      <c r="E11" s="5">
        <v>12</v>
      </c>
      <c r="F11" s="9">
        <v>4.8</v>
      </c>
      <c r="G11" s="36">
        <f>(C11-B11)</f>
        <v>483</v>
      </c>
      <c r="H11" s="11" t="str">
        <f>IF(F11&lt;3,"Poor",IF(F11&lt;=4.4,"Average","Excellent"))</f>
        <v>Excellent</v>
      </c>
      <c r="I11" s="12" t="str">
        <f>IF(D11&lt;20%,"Low Discount",IF(D11&lt;=40%,"Medium Discount","High Discount"))</f>
        <v>High Discount</v>
      </c>
      <c r="J11" s="16" t="str">
        <f>IF(B11&lt;1000,"Low Price",IF(B11&lt;=2000,"Medium Price","High Price"))</f>
        <v>Low Price</v>
      </c>
    </row>
    <row r="12" spans="1:12" ht="15.75" x14ac:dyDescent="0.25">
      <c r="A12" s="5" t="s">
        <v>16</v>
      </c>
      <c r="B12" s="14">
        <v>1580</v>
      </c>
      <c r="C12" s="14">
        <v>2499</v>
      </c>
      <c r="D12" s="1">
        <v>0.37</v>
      </c>
      <c r="E12" s="5">
        <v>7</v>
      </c>
      <c r="F12" s="9">
        <v>4.7</v>
      </c>
      <c r="G12" s="36">
        <f>(C12-B12)</f>
        <v>919</v>
      </c>
      <c r="H12" s="11" t="str">
        <f>IF(F12&lt;3,"Poor",IF(F12&lt;=4.4,"Average","Excellent"))</f>
        <v>Excellent</v>
      </c>
      <c r="I12" s="12" t="str">
        <f>IF(D12&lt;20%,"Low Discount",IF(D12&lt;=40%,"Medium Discount","High Discount"))</f>
        <v>Medium Discount</v>
      </c>
      <c r="J12" s="16" t="str">
        <f>IF(B12&lt;1000,"Low Price",IF(B12&lt;=2000,"Medium Price","High Price"))</f>
        <v>Medium Price</v>
      </c>
    </row>
    <row r="13" spans="1:12" ht="15.75" x14ac:dyDescent="0.25">
      <c r="A13" s="5" t="s">
        <v>103</v>
      </c>
      <c r="B13" s="14">
        <v>980</v>
      </c>
      <c r="C13" s="14">
        <v>1490</v>
      </c>
      <c r="D13" s="1">
        <v>0.34</v>
      </c>
      <c r="E13" s="5">
        <v>12</v>
      </c>
      <c r="F13" s="9">
        <v>4.7</v>
      </c>
      <c r="G13" s="36">
        <f>(C13-B13)</f>
        <v>510</v>
      </c>
      <c r="H13" s="11" t="str">
        <f>IF(F13&lt;3,"Poor",IF(F13&lt;=4.4,"Average","Excellent"))</f>
        <v>Excellent</v>
      </c>
      <c r="I13" s="12" t="str">
        <f>IF(D13&lt;20%,"Low Discount",IF(D13&lt;=40%,"Medium Discount","High Discount"))</f>
        <v>Medium Discount</v>
      </c>
      <c r="J13" s="16" t="str">
        <f>IF(B13&lt;1000,"Low Price",IF(B13&lt;=2000,"Medium Price","High Price"))</f>
        <v>Low Price</v>
      </c>
    </row>
    <row r="14" spans="1:12" ht="15.75" x14ac:dyDescent="0.25">
      <c r="A14" s="5" t="s">
        <v>109</v>
      </c>
      <c r="B14" s="14">
        <v>1940</v>
      </c>
      <c r="C14" s="14">
        <v>2650</v>
      </c>
      <c r="D14" s="1">
        <v>0.27</v>
      </c>
      <c r="E14" s="5">
        <v>20</v>
      </c>
      <c r="F14" s="9">
        <v>4.7</v>
      </c>
      <c r="G14" s="36">
        <f>(C14-B14)</f>
        <v>710</v>
      </c>
      <c r="H14" s="11" t="str">
        <f>IF(F14&lt;3,"Poor",IF(F14&lt;=4.4,"Average","Excellent"))</f>
        <v>Excellent</v>
      </c>
      <c r="I14" s="12" t="str">
        <f>IF(D14&lt;20%,"Low Discount",IF(D14&lt;=40%,"Medium Discount","High Discount"))</f>
        <v>Medium Discount</v>
      </c>
      <c r="J14" s="16" t="str">
        <f>IF(B14&lt;1000,"Low Price",IF(B14&lt;=2000,"Medium Price","High Price"))</f>
        <v>Medium Price</v>
      </c>
    </row>
    <row r="15" spans="1:12" ht="15.75" x14ac:dyDescent="0.25">
      <c r="A15" s="5" t="s">
        <v>42</v>
      </c>
      <c r="B15" s="14">
        <v>990</v>
      </c>
      <c r="C15" s="14">
        <v>1500</v>
      </c>
      <c r="D15" s="1">
        <v>0.34</v>
      </c>
      <c r="E15" s="5">
        <v>39</v>
      </c>
      <c r="F15" s="9">
        <v>4.7</v>
      </c>
      <c r="G15" s="36">
        <f>(C15-B15)</f>
        <v>510</v>
      </c>
      <c r="H15" s="11" t="str">
        <f>IF(F15&lt;3,"Poor",IF(F15&lt;=4.4,"Average","Excellent"))</f>
        <v>Excellent</v>
      </c>
      <c r="I15" s="12" t="str">
        <f>IF(D15&lt;20%,"Low Discount",IF(D15&lt;=40%,"Medium Discount","High Discount"))</f>
        <v>Medium Discount</v>
      </c>
      <c r="J15" s="16" t="str">
        <f>IF(B15&lt;1000,"Low Price",IF(B15&lt;=2000,"Medium Price","High Price"))</f>
        <v>Low Price</v>
      </c>
    </row>
    <row r="16" spans="1:12" ht="15.75" x14ac:dyDescent="0.25">
      <c r="A16" s="5" t="s">
        <v>64</v>
      </c>
      <c r="B16" s="14">
        <v>2999</v>
      </c>
      <c r="C16" s="14">
        <v>3699</v>
      </c>
      <c r="D16" s="1">
        <v>0.19</v>
      </c>
      <c r="E16" s="5">
        <v>5</v>
      </c>
      <c r="F16" s="9">
        <v>4.5999999999999996</v>
      </c>
      <c r="G16" s="36">
        <f>(C16-B16)</f>
        <v>700</v>
      </c>
      <c r="H16" s="11" t="str">
        <f>IF(F16&lt;3,"Poor",IF(F16&lt;=4.4,"Average","Excellent"))</f>
        <v>Excellent</v>
      </c>
      <c r="I16" s="12" t="str">
        <f>IF(D16&lt;20%,"Low Discount",IF(D16&lt;=40%,"Medium Discount","High Discount"))</f>
        <v>Low Discount</v>
      </c>
      <c r="J16" s="16" t="str">
        <f>IF(B16&lt;1000,"Low Price",IF(B16&lt;=2000,"Medium Price","High Price"))</f>
        <v>High Price</v>
      </c>
    </row>
    <row r="17" spans="1:10" ht="15.75" x14ac:dyDescent="0.25">
      <c r="A17" s="5" t="s">
        <v>12</v>
      </c>
      <c r="B17" s="14">
        <v>2199</v>
      </c>
      <c r="C17" s="14">
        <v>2923</v>
      </c>
      <c r="D17" s="1">
        <v>0.25</v>
      </c>
      <c r="E17" s="5">
        <v>24</v>
      </c>
      <c r="F17" s="9">
        <v>4.5999999999999996</v>
      </c>
      <c r="G17" s="36">
        <f>(C17-B17)</f>
        <v>724</v>
      </c>
      <c r="H17" s="11" t="str">
        <f>IF(F17&lt;3,"Poor",IF(F17&lt;=4.4,"Average","Excellent"))</f>
        <v>Excellent</v>
      </c>
      <c r="I17" s="12" t="str">
        <f>IF(D17&lt;20%,"Low Discount",IF(D17&lt;=40%,"Medium Discount","High Discount"))</f>
        <v>Medium Discount</v>
      </c>
      <c r="J17" s="16" t="str">
        <f>IF(B17&lt;1000,"Low Price",IF(B17&lt;=2000,"Medium Price","High Price"))</f>
        <v>High Price</v>
      </c>
    </row>
    <row r="18" spans="1:10" ht="15.75" x14ac:dyDescent="0.25">
      <c r="A18" s="5" t="s">
        <v>66</v>
      </c>
      <c r="B18" s="14">
        <v>998</v>
      </c>
      <c r="C18" s="14">
        <v>1966</v>
      </c>
      <c r="D18" s="1">
        <v>0.49</v>
      </c>
      <c r="E18" s="5">
        <v>44</v>
      </c>
      <c r="F18" s="9">
        <v>4.5999999999999996</v>
      </c>
      <c r="G18" s="36">
        <f>(C18-B18)</f>
        <v>968</v>
      </c>
      <c r="H18" s="11" t="str">
        <f>IF(F18&lt;3,"Poor",IF(F18&lt;=4.4,"Average","Excellent"))</f>
        <v>Excellent</v>
      </c>
      <c r="I18" s="12" t="str">
        <f>IF(D18&lt;20%,"Low Discount",IF(D18&lt;=40%,"Medium Discount","High Discount"))</f>
        <v>High Discount</v>
      </c>
      <c r="J18" s="16" t="str">
        <f>IF(B18&lt;1000,"Low Price",IF(B18&lt;=2000,"Medium Price","High Price"))</f>
        <v>Low Price</v>
      </c>
    </row>
    <row r="19" spans="1:10" ht="15.75" x14ac:dyDescent="0.25">
      <c r="A19" s="5" t="s">
        <v>87</v>
      </c>
      <c r="B19" s="14">
        <v>420</v>
      </c>
      <c r="C19" s="14">
        <v>647</v>
      </c>
      <c r="D19" s="1">
        <v>0.35</v>
      </c>
      <c r="E19" s="5">
        <v>49</v>
      </c>
      <c r="F19" s="9">
        <v>4.5999999999999996</v>
      </c>
      <c r="G19" s="36">
        <f>(C19-B19)</f>
        <v>227</v>
      </c>
      <c r="H19" s="11" t="str">
        <f>IF(F19&lt;3,"Poor",IF(F19&lt;=4.4,"Average","Excellent"))</f>
        <v>Excellent</v>
      </c>
      <c r="I19" s="12" t="str">
        <f>IF(D19&lt;20%,"Low Discount",IF(D19&lt;=40%,"Medium Discount","High Discount"))</f>
        <v>Medium Discount</v>
      </c>
      <c r="J19" s="16" t="str">
        <f>IF(B19&lt;1000,"Low Price",IF(B19&lt;=2000,"Medium Price","High Price"))</f>
        <v>Low Price</v>
      </c>
    </row>
    <row r="20" spans="1:10" ht="15.75" x14ac:dyDescent="0.25">
      <c r="A20" s="5" t="s">
        <v>28</v>
      </c>
      <c r="B20" s="14">
        <v>2319</v>
      </c>
      <c r="C20" s="14">
        <v>3032</v>
      </c>
      <c r="D20" s="1">
        <v>0.24</v>
      </c>
      <c r="E20" s="5">
        <v>55</v>
      </c>
      <c r="F20" s="9">
        <v>4.5999999999999996</v>
      </c>
      <c r="G20" s="36">
        <f>(C20-B20)</f>
        <v>713</v>
      </c>
      <c r="H20" s="11" t="str">
        <f>IF(F20&lt;3,"Poor",IF(F20&lt;=4.4,"Average","Excellent"))</f>
        <v>Excellent</v>
      </c>
      <c r="I20" s="12" t="str">
        <f>IF(D20&lt;20%,"Low Discount",IF(D20&lt;=40%,"Medium Discount","High Discount"))</f>
        <v>Medium Discount</v>
      </c>
      <c r="J20" s="16" t="str">
        <f>IF(B20&lt;1000,"Low Price",IF(B20&lt;=2000,"Medium Price","High Price"))</f>
        <v>High Price</v>
      </c>
    </row>
    <row r="21" spans="1:10" ht="15.75" x14ac:dyDescent="0.25">
      <c r="A21" s="5" t="s">
        <v>4</v>
      </c>
      <c r="B21" s="14">
        <v>950</v>
      </c>
      <c r="C21" s="14">
        <v>1525</v>
      </c>
      <c r="D21" s="1">
        <v>0.38</v>
      </c>
      <c r="E21" s="5">
        <v>2</v>
      </c>
      <c r="F21" s="9">
        <v>4.5</v>
      </c>
      <c r="G21" s="36">
        <f>(C21-B21)</f>
        <v>575</v>
      </c>
      <c r="H21" s="11" t="str">
        <f>IF(F21&lt;3,"Poor",IF(F21&lt;=4.4,"Average","Excellent"))</f>
        <v>Excellent</v>
      </c>
      <c r="I21" s="12" t="str">
        <f>IF(D21&lt;20%,"Low Discount",IF(D21&lt;=40%,"Medium Discount","High Discount"))</f>
        <v>Medium Discount</v>
      </c>
      <c r="J21" s="16" t="str">
        <f>IF(B21&lt;1000,"Low Price",IF(B21&lt;=2000,"Medium Price","High Price"))</f>
        <v>Low Price</v>
      </c>
    </row>
    <row r="22" spans="1:10" ht="15.75" x14ac:dyDescent="0.25">
      <c r="A22" s="5" t="s">
        <v>48</v>
      </c>
      <c r="B22" s="14">
        <v>501</v>
      </c>
      <c r="C22" s="14">
        <v>860</v>
      </c>
      <c r="D22" s="1">
        <v>0.42</v>
      </c>
      <c r="E22" s="5">
        <v>6</v>
      </c>
      <c r="F22" s="9">
        <v>4.5</v>
      </c>
      <c r="G22" s="36">
        <f>(C22-B22)</f>
        <v>359</v>
      </c>
      <c r="H22" s="11" t="str">
        <f>IF(F22&lt;3,"Poor",IF(F22&lt;=4.4,"Average","Excellent"))</f>
        <v>Excellent</v>
      </c>
      <c r="I22" s="12" t="str">
        <f>IF(D22&lt;20%,"Low Discount",IF(D22&lt;=40%,"Medium Discount","High Discount"))</f>
        <v>High Discount</v>
      </c>
      <c r="J22" s="16" t="str">
        <f>IF(B22&lt;1000,"Low Price",IF(B22&lt;=2000,"Medium Price","High Price"))</f>
        <v>Low Price</v>
      </c>
    </row>
    <row r="23" spans="1:10" ht="15.75" x14ac:dyDescent="0.25">
      <c r="A23" s="5" t="s">
        <v>112</v>
      </c>
      <c r="B23" s="14">
        <v>1980</v>
      </c>
      <c r="C23" s="14">
        <v>2699</v>
      </c>
      <c r="D23" s="1">
        <v>0.27</v>
      </c>
      <c r="E23" s="5">
        <v>32</v>
      </c>
      <c r="F23" s="9">
        <v>4.5</v>
      </c>
      <c r="G23" s="36">
        <f>(C23-B23)</f>
        <v>719</v>
      </c>
      <c r="H23" s="11" t="str">
        <f>IF(F23&lt;3,"Poor",IF(F23&lt;=4.4,"Average","Excellent"))</f>
        <v>Excellent</v>
      </c>
      <c r="I23" s="12" t="str">
        <f>IF(D23&lt;20%,"Low Discount",IF(D23&lt;=40%,"Medium Discount","High Discount"))</f>
        <v>Medium Discount</v>
      </c>
      <c r="J23" s="16" t="str">
        <f>IF(B23&lt;1000,"Low Price",IF(B23&lt;=2000,"Medium Price","High Price"))</f>
        <v>Medium Price</v>
      </c>
    </row>
    <row r="24" spans="1:10" ht="15.75" x14ac:dyDescent="0.25">
      <c r="A24" s="5" t="s">
        <v>79</v>
      </c>
      <c r="B24" s="14">
        <v>1650</v>
      </c>
      <c r="C24" s="14">
        <v>2150</v>
      </c>
      <c r="D24" s="1">
        <v>0.23</v>
      </c>
      <c r="E24" s="5">
        <v>14</v>
      </c>
      <c r="F24" s="9">
        <v>4.4000000000000004</v>
      </c>
      <c r="G24" s="36">
        <f>(C24-B24)</f>
        <v>500</v>
      </c>
      <c r="H24" s="11" t="str">
        <f>IF(F24&lt;3,"Poor",IF(F24&lt;=4.4,"Average","Excellent"))</f>
        <v>Average</v>
      </c>
      <c r="I24" s="12" t="str">
        <f>IF(D24&lt;20%,"Low Discount",IF(D24&lt;=40%,"Medium Discount","High Discount"))</f>
        <v>Medium Discount</v>
      </c>
      <c r="J24" s="16" t="str">
        <f>IF(B24&lt;1000,"Low Price",IF(B24&lt;=2000,"Medium Price","High Price"))</f>
        <v>Medium Price</v>
      </c>
    </row>
    <row r="25" spans="1:10" ht="15.75" x14ac:dyDescent="0.25">
      <c r="A25" s="5" t="s">
        <v>83</v>
      </c>
      <c r="B25" s="14">
        <v>2048</v>
      </c>
      <c r="C25" s="14">
        <v>4500</v>
      </c>
      <c r="D25" s="1">
        <v>0.54</v>
      </c>
      <c r="E25" s="5">
        <v>7</v>
      </c>
      <c r="F25" s="9">
        <v>4.3</v>
      </c>
      <c r="G25" s="36">
        <f>(C25-B25)</f>
        <v>2452</v>
      </c>
      <c r="H25" s="11" t="str">
        <f>IF(F25&lt;3,"Poor",IF(F25&lt;=4.4,"Average","Excellent"))</f>
        <v>Average</v>
      </c>
      <c r="I25" s="12" t="str">
        <f>IF(D25&lt;20%,"Low Discount",IF(D25&lt;=40%,"Medium Discount","High Discount"))</f>
        <v>High Discount</v>
      </c>
      <c r="J25" s="16" t="str">
        <f>IF(B25&lt;1000,"Low Price",IF(B25&lt;=2000,"Medium Price","High Price"))</f>
        <v>High Price</v>
      </c>
    </row>
    <row r="26" spans="1:10" ht="15.75" x14ac:dyDescent="0.25">
      <c r="A26" s="5" t="s">
        <v>100</v>
      </c>
      <c r="B26" s="14">
        <v>185</v>
      </c>
      <c r="C26" s="14">
        <v>382</v>
      </c>
      <c r="D26" s="1">
        <v>0.52</v>
      </c>
      <c r="E26" s="5">
        <v>9</v>
      </c>
      <c r="F26" s="9">
        <v>4.3</v>
      </c>
      <c r="G26" s="36">
        <f>(C26-B26)</f>
        <v>197</v>
      </c>
      <c r="H26" s="11" t="str">
        <f>IF(F26&lt;3,"Poor",IF(F26&lt;=4.4,"Average","Excellent"))</f>
        <v>Average</v>
      </c>
      <c r="I26" s="12" t="str">
        <f>IF(D26&lt;20%,"Low Discount",IF(D26&lt;=40%,"Medium Discount","High Discount"))</f>
        <v>High Discount</v>
      </c>
      <c r="J26" s="16" t="str">
        <f>IF(B26&lt;1000,"Low Price",IF(B26&lt;=2000,"Medium Price","High Price"))</f>
        <v>Low Price</v>
      </c>
    </row>
    <row r="27" spans="1:10" ht="15.75" x14ac:dyDescent="0.25">
      <c r="A27" s="5" t="s">
        <v>106</v>
      </c>
      <c r="B27" s="14">
        <v>1820</v>
      </c>
      <c r="C27" s="14">
        <v>3490</v>
      </c>
      <c r="D27" s="1">
        <v>0.48</v>
      </c>
      <c r="E27" s="5">
        <v>9</v>
      </c>
      <c r="F27" s="9">
        <v>4.3</v>
      </c>
      <c r="G27" s="36">
        <f>(C27-B27)</f>
        <v>1670</v>
      </c>
      <c r="H27" s="11" t="str">
        <f>IF(F27&lt;3,"Poor",IF(F27&lt;=4.4,"Average","Excellent"))</f>
        <v>Average</v>
      </c>
      <c r="I27" s="12" t="str">
        <f>IF(D27&lt;20%,"Low Discount",IF(D27&lt;=40%,"Medium Discount","High Discount"))</f>
        <v>High Discount</v>
      </c>
      <c r="J27" s="16" t="str">
        <f>IF(B27&lt;1000,"Low Price",IF(B27&lt;=2000,"Medium Price","High Price"))</f>
        <v>Medium Price</v>
      </c>
    </row>
    <row r="28" spans="1:10" ht="15.75" x14ac:dyDescent="0.25">
      <c r="A28" s="5" t="s">
        <v>120</v>
      </c>
      <c r="B28" s="14">
        <v>389</v>
      </c>
      <c r="C28" s="14">
        <v>656</v>
      </c>
      <c r="D28" s="1">
        <v>0.41</v>
      </c>
      <c r="E28" s="5">
        <v>36</v>
      </c>
      <c r="F28" s="9">
        <v>4.3</v>
      </c>
      <c r="G28" s="36">
        <f>(C28-B28)</f>
        <v>267</v>
      </c>
      <c r="H28" s="11" t="str">
        <f>IF(F28&lt;3,"Poor",IF(F28&lt;=4.4,"Average","Excellent"))</f>
        <v>Average</v>
      </c>
      <c r="I28" s="12" t="str">
        <f>IF(D28&lt;20%,"Low Discount",IF(D28&lt;=40%,"Medium Discount","High Discount"))</f>
        <v>High Discount</v>
      </c>
      <c r="J28" s="16" t="str">
        <f>IF(B28&lt;1000,"Low Price",IF(B28&lt;=2000,"Medium Price","High Price"))</f>
        <v>Low Price</v>
      </c>
    </row>
    <row r="29" spans="1:10" ht="15.75" x14ac:dyDescent="0.25">
      <c r="A29" s="5" t="s">
        <v>51</v>
      </c>
      <c r="B29" s="14">
        <v>1680</v>
      </c>
      <c r="C29" s="14">
        <v>2499</v>
      </c>
      <c r="D29" s="1">
        <v>0.33</v>
      </c>
      <c r="E29" s="5">
        <v>9</v>
      </c>
      <c r="F29" s="9">
        <v>4.2</v>
      </c>
      <c r="G29" s="36">
        <f>(C29-B29)</f>
        <v>819</v>
      </c>
      <c r="H29" s="11" t="str">
        <f>IF(F29&lt;3,"Poor",IF(F29&lt;=4.4,"Average","Excellent"))</f>
        <v>Average</v>
      </c>
      <c r="I29" s="12" t="str">
        <f>IF(D29&lt;20%,"Low Discount",IF(D29&lt;=40%,"Medium Discount","High Discount"))</f>
        <v>Medium Discount</v>
      </c>
      <c r="J29" s="16" t="str">
        <f>IF(B29&lt;1000,"Low Price",IF(B29&lt;=2000,"Medium Price","High Price"))</f>
        <v>Medium Price</v>
      </c>
    </row>
    <row r="30" spans="1:10" ht="15.75" x14ac:dyDescent="0.25">
      <c r="A30" s="5" t="s">
        <v>40</v>
      </c>
      <c r="B30" s="14">
        <v>799</v>
      </c>
      <c r="C30" s="14">
        <v>999</v>
      </c>
      <c r="D30" s="1">
        <v>0.2</v>
      </c>
      <c r="E30" s="5">
        <v>12</v>
      </c>
      <c r="F30" s="9">
        <v>4.0999999999999996</v>
      </c>
      <c r="G30" s="36">
        <f>(C30-B30)</f>
        <v>200</v>
      </c>
      <c r="H30" s="11" t="str">
        <f>IF(F30&lt;3,"Poor",IF(F30&lt;=4.4,"Average","Excellent"))</f>
        <v>Average</v>
      </c>
      <c r="I30" s="12" t="str">
        <f>IF(D30&lt;20%,"Low Discount",IF(D30&lt;=40%,"Medium Discount","High Discount"))</f>
        <v>Medium Discount</v>
      </c>
      <c r="J30" s="16" t="str">
        <f>IF(B30&lt;1000,"Low Price",IF(B30&lt;=2000,"Medium Price","High Price"))</f>
        <v>Low Price</v>
      </c>
    </row>
    <row r="31" spans="1:10" ht="15.75" x14ac:dyDescent="0.25">
      <c r="A31" s="5" t="s">
        <v>8</v>
      </c>
      <c r="B31" s="14">
        <v>527</v>
      </c>
      <c r="C31" s="14">
        <v>999</v>
      </c>
      <c r="D31" s="1">
        <v>0.47</v>
      </c>
      <c r="E31" s="5">
        <v>14</v>
      </c>
      <c r="F31" s="9">
        <v>4.0999999999999996</v>
      </c>
      <c r="G31" s="36">
        <f>(C31-B31)</f>
        <v>472</v>
      </c>
      <c r="H31" s="11" t="str">
        <f>IF(F31&lt;3,"Poor",IF(F31&lt;=4.4,"Average","Excellent"))</f>
        <v>Average</v>
      </c>
      <c r="I31" s="12" t="str">
        <f>IF(D31&lt;20%,"Low Discount",IF(D31&lt;=40%,"Medium Discount","High Discount"))</f>
        <v>High Discount</v>
      </c>
      <c r="J31" s="16" t="str">
        <f>IF(B31&lt;1000,"Low Price",IF(B31&lt;=2000,"Medium Price","High Price"))</f>
        <v>Low Price</v>
      </c>
    </row>
    <row r="32" spans="1:10" ht="15.75" x14ac:dyDescent="0.25">
      <c r="A32" s="5" t="s">
        <v>95</v>
      </c>
      <c r="B32" s="14">
        <v>1758</v>
      </c>
      <c r="C32" s="14">
        <v>2499</v>
      </c>
      <c r="D32" s="1">
        <v>0.3</v>
      </c>
      <c r="E32" s="5">
        <v>20</v>
      </c>
      <c r="F32" s="9">
        <v>4.0999999999999996</v>
      </c>
      <c r="G32" s="36">
        <f>(C32-B32)</f>
        <v>741</v>
      </c>
      <c r="H32" s="11" t="str">
        <f>IF(F32&lt;3,"Poor",IF(F32&lt;=4.4,"Average","Excellent"))</f>
        <v>Average</v>
      </c>
      <c r="I32" s="12" t="str">
        <f>IF(D32&lt;20%,"Low Discount",IF(D32&lt;=40%,"Medium Discount","High Discount"))</f>
        <v>Medium Discount</v>
      </c>
      <c r="J32" s="16" t="str">
        <f>IF(B32&lt;1000,"Low Price",IF(B32&lt;=2000,"Medium Price","High Price"))</f>
        <v>Medium Price</v>
      </c>
    </row>
    <row r="33" spans="1:10" ht="15.75" x14ac:dyDescent="0.25">
      <c r="A33" s="5" t="s">
        <v>251</v>
      </c>
      <c r="B33" s="14">
        <v>330</v>
      </c>
      <c r="C33" s="14">
        <v>647</v>
      </c>
      <c r="D33" s="1">
        <v>0.49</v>
      </c>
      <c r="E33" s="5">
        <v>1</v>
      </c>
      <c r="F33" s="9">
        <v>4</v>
      </c>
      <c r="G33" s="36">
        <f>(C33-B33)</f>
        <v>317</v>
      </c>
      <c r="H33" s="11" t="str">
        <f>IF(F33&lt;3,"Poor",IF(F33&lt;=4.4,"Average","Excellent"))</f>
        <v>Average</v>
      </c>
      <c r="I33" s="12" t="str">
        <f>IF(D33&lt;20%,"Low Discount",IF(D33&lt;=40%,"Medium Discount","High Discount"))</f>
        <v>High Discount</v>
      </c>
      <c r="J33" s="16" t="str">
        <f>IF(B33&lt;1000,"Low Price",IF(B33&lt;=2000,"Medium Price","High Price"))</f>
        <v>Low Price</v>
      </c>
    </row>
    <row r="34" spans="1:10" ht="15.75" x14ac:dyDescent="0.25">
      <c r="A34" s="5" t="s">
        <v>31</v>
      </c>
      <c r="B34" s="14">
        <v>988</v>
      </c>
      <c r="C34" s="14">
        <v>1580</v>
      </c>
      <c r="D34" s="1">
        <v>0.37</v>
      </c>
      <c r="E34" s="5">
        <v>2</v>
      </c>
      <c r="F34" s="9">
        <v>4</v>
      </c>
      <c r="G34" s="36">
        <f>(C34-B34)</f>
        <v>592</v>
      </c>
      <c r="H34" s="11" t="str">
        <f>IF(F34&lt;3,"Poor",IF(F34&lt;=4.4,"Average","Excellent"))</f>
        <v>Average</v>
      </c>
      <c r="I34" s="12" t="str">
        <f>IF(D34&lt;20%,"Low Discount",IF(D34&lt;=40%,"Medium Discount","High Discount"))</f>
        <v>Medium Discount</v>
      </c>
      <c r="J34" s="16" t="str">
        <f>IF(B34&lt;1000,"Low Price",IF(B34&lt;=2000,"Medium Price","High Price"))</f>
        <v>Low Price</v>
      </c>
    </row>
    <row r="35" spans="1:10" ht="15.75" x14ac:dyDescent="0.25">
      <c r="A35" s="5" t="s">
        <v>76</v>
      </c>
      <c r="B35" s="14">
        <v>880</v>
      </c>
      <c r="C35" s="14">
        <v>1350</v>
      </c>
      <c r="D35" s="1">
        <v>0.35</v>
      </c>
      <c r="E35" s="5">
        <v>6</v>
      </c>
      <c r="F35" s="9">
        <v>4</v>
      </c>
      <c r="G35" s="36">
        <f>(C35-B35)</f>
        <v>470</v>
      </c>
      <c r="H35" s="11" t="str">
        <f>IF(F35&lt;3,"Poor",IF(F35&lt;=4.4,"Average","Excellent"))</f>
        <v>Average</v>
      </c>
      <c r="I35" s="12" t="str">
        <f>IF(D35&lt;20%,"Low Discount",IF(D35&lt;=40%,"Medium Discount","High Discount"))</f>
        <v>Medium Discount</v>
      </c>
      <c r="J35" s="16" t="str">
        <f>IF(B35&lt;1000,"Low Price",IF(B35&lt;=2000,"Medium Price","High Price"))</f>
        <v>Low Price</v>
      </c>
    </row>
    <row r="36" spans="1:10" ht="15.75" x14ac:dyDescent="0.25">
      <c r="A36" s="5" t="s">
        <v>24</v>
      </c>
      <c r="B36" s="14">
        <v>2999</v>
      </c>
      <c r="C36" s="14">
        <v>3290</v>
      </c>
      <c r="D36" s="1">
        <v>0.09</v>
      </c>
      <c r="E36" s="5">
        <v>15</v>
      </c>
      <c r="F36" s="9">
        <v>4</v>
      </c>
      <c r="G36" s="36">
        <f>(C36-B36)</f>
        <v>291</v>
      </c>
      <c r="H36" s="11" t="str">
        <f>IF(F36&lt;3,"Poor",IF(F36&lt;=4.4,"Average","Excellent"))</f>
        <v>Average</v>
      </c>
      <c r="I36" s="12" t="str">
        <f>IF(D36&lt;20%,"Low Discount",IF(D36&lt;=40%,"Medium Discount","High Discount"))</f>
        <v>Low Discount</v>
      </c>
      <c r="J36" s="16" t="str">
        <f>IF(B36&lt;1000,"Low Price",IF(B36&lt;=2000,"Medium Price","High Price"))</f>
        <v>High Price</v>
      </c>
    </row>
    <row r="37" spans="1:10" ht="15.75" x14ac:dyDescent="0.25">
      <c r="A37" s="5" t="s">
        <v>36</v>
      </c>
      <c r="B37" s="14">
        <v>1600</v>
      </c>
      <c r="C37" s="14">
        <v>2929</v>
      </c>
      <c r="D37" s="1">
        <v>0.45</v>
      </c>
      <c r="E37" s="5">
        <v>5</v>
      </c>
      <c r="F37" s="9">
        <v>3.8</v>
      </c>
      <c r="G37" s="36">
        <f>(C37-B37)</f>
        <v>1329</v>
      </c>
      <c r="H37" s="11" t="str">
        <f>IF(F37&lt;3,"Poor",IF(F37&lt;=4.4,"Average","Excellent"))</f>
        <v>Average</v>
      </c>
      <c r="I37" s="12" t="str">
        <f>IF(D37&lt;20%,"Low Discount",IF(D37&lt;=40%,"Medium Discount","High Discount"))</f>
        <v>High Discount</v>
      </c>
      <c r="J37" s="16" t="str">
        <f>IF(B37&lt;1000,"Low Price",IF(B37&lt;=2000,"Medium Price","High Price"))</f>
        <v>Medium Price</v>
      </c>
    </row>
    <row r="38" spans="1:10" ht="15.75" x14ac:dyDescent="0.25">
      <c r="A38" s="5" t="s">
        <v>90</v>
      </c>
      <c r="B38" s="14">
        <v>2880</v>
      </c>
      <c r="C38" s="14">
        <v>3520</v>
      </c>
      <c r="D38" s="1">
        <v>0.18</v>
      </c>
      <c r="E38" s="5">
        <v>12</v>
      </c>
      <c r="F38" s="9">
        <v>3.8</v>
      </c>
      <c r="G38" s="36">
        <f>(C38-B38)</f>
        <v>640</v>
      </c>
      <c r="H38" s="11" t="str">
        <f>IF(F38&lt;3,"Poor",IF(F38&lt;=4.4,"Average","Excellent"))</f>
        <v>Average</v>
      </c>
      <c r="I38" s="12" t="str">
        <f>IF(D38&lt;20%,"Low Discount",IF(D38&lt;=40%,"Medium Discount","High Discount"))</f>
        <v>Low Discount</v>
      </c>
      <c r="J38" s="16" t="str">
        <f>IF(B38&lt;1000,"Low Price",IF(B38&lt;=2000,"Medium Price","High Price"))</f>
        <v>High Price</v>
      </c>
    </row>
    <row r="39" spans="1:10" ht="15.75" x14ac:dyDescent="0.25">
      <c r="A39" s="5" t="s">
        <v>93</v>
      </c>
      <c r="B39" s="14">
        <v>1350</v>
      </c>
      <c r="C39" s="14">
        <v>1990</v>
      </c>
      <c r="D39" s="1">
        <v>0.32</v>
      </c>
      <c r="E39" s="5">
        <v>13</v>
      </c>
      <c r="F39" s="9">
        <v>3.8</v>
      </c>
      <c r="G39" s="36">
        <f>(C39-B39)</f>
        <v>640</v>
      </c>
      <c r="H39" s="11" t="str">
        <f>IF(F39&lt;3,"Poor",IF(F39&lt;=4.4,"Average","Excellent"))</f>
        <v>Average</v>
      </c>
      <c r="I39" s="12" t="str">
        <f>IF(D39&lt;20%,"Low Discount",IF(D39&lt;=40%,"Medium Discount","High Discount"))</f>
        <v>Medium Discount</v>
      </c>
      <c r="J39" s="16" t="str">
        <f>IF(B39&lt;1000,"Low Price",IF(B39&lt;=2000,"Medium Price","High Price"))</f>
        <v>Medium Price</v>
      </c>
    </row>
    <row r="40" spans="1:10" ht="15.75" x14ac:dyDescent="0.25">
      <c r="A40" s="5" t="s">
        <v>69</v>
      </c>
      <c r="B40" s="14">
        <v>38</v>
      </c>
      <c r="C40" s="14">
        <v>80</v>
      </c>
      <c r="D40" s="1">
        <v>0.53</v>
      </c>
      <c r="E40" s="5">
        <v>13</v>
      </c>
      <c r="F40" s="9">
        <v>3.3</v>
      </c>
      <c r="G40" s="36">
        <f>(C40-B40)</f>
        <v>42</v>
      </c>
      <c r="H40" s="11" t="str">
        <f>IF(F40&lt;3,"Poor",IF(F40&lt;=4.4,"Average","Excellent"))</f>
        <v>Average</v>
      </c>
      <c r="I40" s="12" t="str">
        <f>IF(D40&lt;20%,"Low Discount",IF(D40&lt;=40%,"Medium Discount","High Discount"))</f>
        <v>High Discount</v>
      </c>
      <c r="J40" s="16" t="str">
        <f>IF(B40&lt;1000,"Low Price",IF(B40&lt;=2000,"Medium Price","High Price"))</f>
        <v>Low Price</v>
      </c>
    </row>
    <row r="41" spans="1:10" ht="15.75" x14ac:dyDescent="0.25">
      <c r="A41" s="5" t="s">
        <v>241</v>
      </c>
      <c r="B41" s="14">
        <v>1189</v>
      </c>
      <c r="C41" s="14">
        <v>2199</v>
      </c>
      <c r="D41" s="1">
        <v>0.46</v>
      </c>
      <c r="E41" s="5">
        <v>1</v>
      </c>
      <c r="F41" s="9">
        <v>3</v>
      </c>
      <c r="G41" s="36">
        <f>(C41-B41)</f>
        <v>1010</v>
      </c>
      <c r="H41" s="11" t="str">
        <f>IF(F41&lt;3,"Poor",IF(F41&lt;=4.4,"Average","Excellent"))</f>
        <v>Average</v>
      </c>
      <c r="I41" s="12" t="str">
        <f>IF(D41&lt;20%,"Low Discount",IF(D41&lt;=40%,"Medium Discount","High Discount"))</f>
        <v>High Discount</v>
      </c>
      <c r="J41" s="16" t="str">
        <f>IF(B41&lt;1000,"Low Price",IF(B41&lt;=2000,"Medium Price","High Price"))</f>
        <v>Medium Price</v>
      </c>
    </row>
    <row r="42" spans="1:10" ht="15.75" x14ac:dyDescent="0.25">
      <c r="A42" s="5" t="s">
        <v>222</v>
      </c>
      <c r="B42" s="14">
        <v>509</v>
      </c>
      <c r="C42" s="14">
        <v>899</v>
      </c>
      <c r="D42" s="1">
        <v>0.43</v>
      </c>
      <c r="E42" s="5">
        <v>5</v>
      </c>
      <c r="F42" s="9">
        <v>3</v>
      </c>
      <c r="G42" s="36">
        <f>(C42-B42)</f>
        <v>390</v>
      </c>
      <c r="H42" s="11" t="str">
        <f>IF(F42&lt;3,"Poor",IF(F42&lt;=4.4,"Average","Excellent"))</f>
        <v>Average</v>
      </c>
      <c r="I42" s="12" t="str">
        <f>IF(D42&lt;20%,"Low Discount",IF(D42&lt;=40%,"Medium Discount","High Discount"))</f>
        <v>High Discount</v>
      </c>
      <c r="J42" s="16" t="str">
        <f>IF(B42&lt;1000,"Low Price",IF(B42&lt;=2000,"Medium Price","High Price"))</f>
        <v>Low Price</v>
      </c>
    </row>
    <row r="43" spans="1:10" ht="15.75" x14ac:dyDescent="0.25">
      <c r="A43" s="5" t="s">
        <v>210</v>
      </c>
      <c r="B43" s="14">
        <v>3750</v>
      </c>
      <c r="C43" s="14">
        <v>6143</v>
      </c>
      <c r="D43" s="1">
        <v>0.39</v>
      </c>
      <c r="E43" s="5">
        <v>5</v>
      </c>
      <c r="F43" s="9">
        <v>3</v>
      </c>
      <c r="G43" s="36">
        <f>(C43-B43)</f>
        <v>2393</v>
      </c>
      <c r="H43" s="11" t="str">
        <f>IF(F43&lt;3,"Poor",IF(F43&lt;=4.4,"Average","Excellent"))</f>
        <v>Average</v>
      </c>
      <c r="I43" s="12" t="str">
        <f>IF(D43&lt;20%,"Low Discount",IF(D43&lt;=40%,"Medium Discount","High Discount"))</f>
        <v>Medium Discount</v>
      </c>
      <c r="J43" s="16" t="str">
        <f>IF(B43&lt;1000,"Low Price",IF(B43&lt;=2000,"Medium Price","High Price"))</f>
        <v>High Price</v>
      </c>
    </row>
    <row r="44" spans="1:10" ht="15.75" x14ac:dyDescent="0.25">
      <c r="A44" s="5" t="s">
        <v>216</v>
      </c>
      <c r="B44" s="14">
        <v>2300</v>
      </c>
      <c r="C44" s="14">
        <v>3240</v>
      </c>
      <c r="D44" s="1">
        <v>0.28999999999999998</v>
      </c>
      <c r="E44" s="5">
        <v>5</v>
      </c>
      <c r="F44" s="9">
        <v>3</v>
      </c>
      <c r="G44" s="36">
        <f>(C44-B44)</f>
        <v>940</v>
      </c>
      <c r="H44" s="11" t="str">
        <f>IF(F44&lt;3,"Poor",IF(F44&lt;=4.4,"Average","Excellent"))</f>
        <v>Average</v>
      </c>
      <c r="I44" s="12" t="str">
        <f>IF(D44&lt;20%,"Low Discount",IF(D44&lt;=40%,"Medium Discount","High Discount"))</f>
        <v>Medium Discount</v>
      </c>
      <c r="J44" s="16" t="str">
        <f>IF(B44&lt;1000,"Low Price",IF(B44&lt;=2000,"Medium Price","High Price"))</f>
        <v>High Price</v>
      </c>
    </row>
    <row r="45" spans="1:10" ht="15.75" x14ac:dyDescent="0.25">
      <c r="A45" s="5" t="s">
        <v>184</v>
      </c>
      <c r="B45" s="14">
        <v>458</v>
      </c>
      <c r="C45" s="14">
        <v>986</v>
      </c>
      <c r="D45" s="1">
        <v>0.54</v>
      </c>
      <c r="E45" s="5">
        <v>10</v>
      </c>
      <c r="F45" s="9">
        <v>3</v>
      </c>
      <c r="G45" s="36">
        <f>(C45-B45)</f>
        <v>528</v>
      </c>
      <c r="H45" s="11" t="str">
        <f>IF(F45&lt;3,"Poor",IF(F45&lt;=4.4,"Average","Excellent"))</f>
        <v>Average</v>
      </c>
      <c r="I45" s="12" t="str">
        <f>IF(D45&lt;20%,"Low Discount",IF(D45&lt;=40%,"Medium Discount","High Discount"))</f>
        <v>High Discount</v>
      </c>
      <c r="J45" s="16" t="str">
        <f>IF(B45&lt;1000,"Low Price",IF(B45&lt;=2000,"Medium Price","High Price"))</f>
        <v>Low Price</v>
      </c>
    </row>
    <row r="46" spans="1:10" ht="15.75" x14ac:dyDescent="0.25">
      <c r="A46" s="5" t="s">
        <v>200</v>
      </c>
      <c r="B46" s="14">
        <v>1220</v>
      </c>
      <c r="C46" s="14">
        <v>1555</v>
      </c>
      <c r="D46" s="1">
        <v>0.22</v>
      </c>
      <c r="E46" s="5">
        <v>16</v>
      </c>
      <c r="F46" s="9">
        <v>2.9</v>
      </c>
      <c r="G46" s="36">
        <f>(C46-B46)</f>
        <v>335</v>
      </c>
      <c r="H46" s="11" t="str">
        <f>IF(F46&lt;3,"Poor",IF(F46&lt;=4.4,"Average","Excellent"))</f>
        <v>Poor</v>
      </c>
      <c r="I46" s="12" t="str">
        <f>IF(D46&lt;20%,"Low Discount",IF(D46&lt;=40%,"Medium Discount","High Discount"))</f>
        <v>Medium Discount</v>
      </c>
      <c r="J46" s="16" t="str">
        <f>IF(B46&lt;1000,"Low Price",IF(B46&lt;=2000,"Medium Price","High Price"))</f>
        <v>Medium Price</v>
      </c>
    </row>
    <row r="47" spans="1:10" ht="15.75" x14ac:dyDescent="0.25">
      <c r="A47" s="5" t="s">
        <v>192</v>
      </c>
      <c r="B47" s="14">
        <v>445</v>
      </c>
      <c r="C47" s="14">
        <v>873</v>
      </c>
      <c r="D47" s="1">
        <v>0.49</v>
      </c>
      <c r="E47" s="5">
        <v>69</v>
      </c>
      <c r="F47" s="9">
        <v>2.8</v>
      </c>
      <c r="G47" s="36">
        <f>(C47-B47)</f>
        <v>428</v>
      </c>
      <c r="H47" s="11" t="str">
        <f>IF(F47&lt;3,"Poor",IF(F47&lt;=4.4,"Average","Excellent"))</f>
        <v>Poor</v>
      </c>
      <c r="I47" s="12" t="str">
        <f>IF(D47&lt;20%,"Low Discount",IF(D47&lt;=40%,"Medium Discount","High Discount"))</f>
        <v>High Discount</v>
      </c>
      <c r="J47" s="16" t="str">
        <f>IF(B47&lt;1000,"Low Price",IF(B47&lt;=2000,"Medium Price","High Price"))</f>
        <v>Low Price</v>
      </c>
    </row>
    <row r="48" spans="1:10" ht="15.75" x14ac:dyDescent="0.25">
      <c r="A48" s="5" t="s">
        <v>196</v>
      </c>
      <c r="B48" s="14">
        <v>325</v>
      </c>
      <c r="C48" s="14">
        <v>680</v>
      </c>
      <c r="D48" s="1">
        <v>0.52</v>
      </c>
      <c r="E48" s="5">
        <v>15</v>
      </c>
      <c r="F48" s="9">
        <v>2.7</v>
      </c>
      <c r="G48" s="36">
        <f>(C48-B48)</f>
        <v>355</v>
      </c>
      <c r="H48" s="11" t="str">
        <f>IF(F48&lt;3,"Poor",IF(F48&lt;=4.4,"Average","Excellent"))</f>
        <v>Poor</v>
      </c>
      <c r="I48" s="12" t="str">
        <f>IF(D48&lt;20%,"Low Discount",IF(D48&lt;=40%,"Medium Discount","High Discount"))</f>
        <v>High Discount</v>
      </c>
      <c r="J48" s="16" t="str">
        <f>IF(B48&lt;1000,"Low Price",IF(B48&lt;=2000,"Medium Price","High Price"))</f>
        <v>Low Price</v>
      </c>
    </row>
    <row r="49" spans="1:10" ht="15.75" x14ac:dyDescent="0.25">
      <c r="A49" s="5" t="s">
        <v>213</v>
      </c>
      <c r="B49" s="14">
        <v>382</v>
      </c>
      <c r="C49" s="14">
        <v>700</v>
      </c>
      <c r="D49" s="1">
        <v>0.45</v>
      </c>
      <c r="E49" s="5">
        <v>17</v>
      </c>
      <c r="F49" s="9">
        <v>2.6</v>
      </c>
      <c r="G49" s="36">
        <f>(C49-B49)</f>
        <v>318</v>
      </c>
      <c r="H49" s="11" t="str">
        <f>IF(F49&lt;3,"Poor",IF(F49&lt;=4.4,"Average","Excellent"))</f>
        <v>Poor</v>
      </c>
      <c r="I49" s="12" t="str">
        <f>IF(D49&lt;20%,"Low Discount",IF(D49&lt;=40%,"Medium Discount","High Discount"))</f>
        <v>High Discount</v>
      </c>
      <c r="J49" s="16" t="str">
        <f>IF(B49&lt;1000,"Low Price",IF(B49&lt;=2000,"Medium Price","High Price"))</f>
        <v>Low Price</v>
      </c>
    </row>
    <row r="50" spans="1:10" ht="15.75" x14ac:dyDescent="0.25">
      <c r="A50" s="5" t="s">
        <v>180</v>
      </c>
      <c r="B50" s="14">
        <v>2170</v>
      </c>
      <c r="C50" s="14">
        <v>2500</v>
      </c>
      <c r="D50" s="1">
        <v>0.13</v>
      </c>
      <c r="E50" s="5">
        <v>6</v>
      </c>
      <c r="F50" s="9">
        <v>2.5</v>
      </c>
      <c r="G50" s="36">
        <f>(C50-B50)</f>
        <v>330</v>
      </c>
      <c r="H50" s="11" t="str">
        <f>IF(F50&lt;3,"Poor",IF(F50&lt;=4.4,"Average","Excellent"))</f>
        <v>Poor</v>
      </c>
      <c r="I50" s="12" t="str">
        <f>IF(D50&lt;20%,"Low Discount",IF(D50&lt;=40%,"Medium Discount","High Discount"))</f>
        <v>Low Discount</v>
      </c>
      <c r="J50" s="16" t="str">
        <f>IF(B50&lt;1000,"Low Price",IF(B50&lt;=2000,"Medium Price","High Price"))</f>
        <v>High Price</v>
      </c>
    </row>
    <row r="51" spans="1:10" ht="15.75" x14ac:dyDescent="0.25">
      <c r="A51" s="5" t="s">
        <v>219</v>
      </c>
      <c r="B51" s="14">
        <v>345</v>
      </c>
      <c r="C51" s="14">
        <v>602</v>
      </c>
      <c r="D51" s="1">
        <v>0.43</v>
      </c>
      <c r="E51" s="5">
        <v>6</v>
      </c>
      <c r="F51" s="9">
        <v>2.2999999999999998</v>
      </c>
      <c r="G51" s="36">
        <f>(C51-B51)</f>
        <v>257</v>
      </c>
      <c r="H51" s="11" t="str">
        <f>IF(F51&lt;3,"Poor",IF(F51&lt;=4.4,"Average","Excellent"))</f>
        <v>Poor</v>
      </c>
      <c r="I51" s="12" t="str">
        <f>IF(D51&lt;20%,"Low Discount",IF(D51&lt;=40%,"Medium Discount","High Discount"))</f>
        <v>High Discount</v>
      </c>
      <c r="J51" s="16" t="str">
        <f>IF(B51&lt;1000,"Low Price",IF(B51&lt;=2000,"Medium Price","High Price"))</f>
        <v>Low Price</v>
      </c>
    </row>
    <row r="52" spans="1:10" ht="15.75" x14ac:dyDescent="0.25">
      <c r="A52" s="5" t="s">
        <v>207</v>
      </c>
      <c r="B52" s="14">
        <v>1000</v>
      </c>
      <c r="C52" s="14">
        <v>2000</v>
      </c>
      <c r="D52" s="1">
        <v>0.5</v>
      </c>
      <c r="E52" s="5">
        <v>7</v>
      </c>
      <c r="F52" s="9">
        <v>2.2999999999999998</v>
      </c>
      <c r="G52" s="36">
        <f>(C52-B52)</f>
        <v>1000</v>
      </c>
      <c r="H52" s="11" t="str">
        <f>IF(F52&lt;3,"Poor",IF(F52&lt;=4.4,"Average","Excellent"))</f>
        <v>Poor</v>
      </c>
      <c r="I52" s="12" t="str">
        <f>IF(D52&lt;20%,"Low Discount",IF(D52&lt;=40%,"Medium Discount","High Discount"))</f>
        <v>High Discount</v>
      </c>
      <c r="J52" s="16" t="str">
        <f>IF(B52&lt;1000,"Low Price",IF(B52&lt;=2000,"Medium Price","High Price"))</f>
        <v>Medium Price</v>
      </c>
    </row>
    <row r="53" spans="1:10" ht="15.75" x14ac:dyDescent="0.25">
      <c r="A53" s="5" t="s">
        <v>225</v>
      </c>
      <c r="B53" s="14">
        <v>968</v>
      </c>
      <c r="C53" s="14">
        <v>1814</v>
      </c>
      <c r="D53" s="1">
        <v>0.47</v>
      </c>
      <c r="E53" s="5">
        <v>6</v>
      </c>
      <c r="F53" s="9">
        <v>2.2000000000000002</v>
      </c>
      <c r="G53" s="36">
        <f>(C53-B53)</f>
        <v>846</v>
      </c>
      <c r="H53" s="11" t="str">
        <f>IF(F53&lt;3,"Poor",IF(F53&lt;=4.4,"Average","Excellent"))</f>
        <v>Poor</v>
      </c>
      <c r="I53" s="12" t="str">
        <f>IF(D53&lt;20%,"Low Discount",IF(D53&lt;=40%,"Medium Discount","High Discount"))</f>
        <v>High Discount</v>
      </c>
      <c r="J53" s="16" t="str">
        <f>IF(B53&lt;1000,"Low Price",IF(B53&lt;=2000,"Medium Price","High Price"))</f>
        <v>Low Price</v>
      </c>
    </row>
    <row r="54" spans="1:10" ht="15.75" x14ac:dyDescent="0.25">
      <c r="A54" s="5" t="s">
        <v>204</v>
      </c>
      <c r="B54" s="14">
        <v>990</v>
      </c>
      <c r="C54" s="14">
        <v>1814</v>
      </c>
      <c r="D54" s="1">
        <v>0.45</v>
      </c>
      <c r="E54" s="5">
        <v>6</v>
      </c>
      <c r="F54" s="9">
        <v>2.2000000000000002</v>
      </c>
      <c r="G54" s="36">
        <f>(C54-B54)</f>
        <v>824</v>
      </c>
      <c r="H54" s="11" t="str">
        <f>IF(F54&lt;3,"Poor",IF(F54&lt;=4.4,"Average","Excellent"))</f>
        <v>Poor</v>
      </c>
      <c r="I54" s="12" t="str">
        <f>IF(D54&lt;20%,"Low Discount",IF(D54&lt;=40%,"Medium Discount","High Discount"))</f>
        <v>High Discount</v>
      </c>
      <c r="J54" s="16" t="str">
        <f>IF(B54&lt;1000,"Low Price",IF(B54&lt;=2000,"Medium Price","High Price"))</f>
        <v>Low Price</v>
      </c>
    </row>
    <row r="55" spans="1:10" ht="15.75" x14ac:dyDescent="0.25">
      <c r="A55" s="5" t="s">
        <v>227</v>
      </c>
      <c r="B55" s="14">
        <v>1570</v>
      </c>
      <c r="C55" s="14">
        <v>2988</v>
      </c>
      <c r="D55" s="1">
        <v>0.47</v>
      </c>
      <c r="E55" s="5">
        <v>7</v>
      </c>
      <c r="F55" s="9">
        <v>2.1</v>
      </c>
      <c r="G55" s="36">
        <f>(C55-B55)</f>
        <v>1418</v>
      </c>
      <c r="H55" s="11" t="str">
        <f>IF(F55&lt;3,"Poor",IF(F55&lt;=4.4,"Average","Excellent"))</f>
        <v>Poor</v>
      </c>
      <c r="I55" s="12" t="str">
        <f>IF(D55&lt;20%,"Low Discount",IF(D55&lt;=40%,"Medium Discount","High Discount"))</f>
        <v>High Discount</v>
      </c>
      <c r="J55" s="16" t="str">
        <f>IF(B55&lt;1000,"Low Price",IF(B55&lt;=2000,"Medium Price","High Price"))</f>
        <v>Medium Price</v>
      </c>
    </row>
    <row r="56" spans="1:10" ht="15.75" x14ac:dyDescent="0.25">
      <c r="A56" s="5" t="s">
        <v>188</v>
      </c>
      <c r="B56" s="14">
        <v>2115</v>
      </c>
      <c r="C56" s="14">
        <v>4700</v>
      </c>
      <c r="D56" s="1">
        <v>0.55000000000000004</v>
      </c>
      <c r="E56" s="5">
        <v>13</v>
      </c>
      <c r="F56" s="9">
        <v>2.1</v>
      </c>
      <c r="G56" s="36">
        <f>(C56-B56)</f>
        <v>2585</v>
      </c>
      <c r="H56" s="11" t="str">
        <f>IF(F56&lt;3,"Poor",IF(F56&lt;=4.4,"Average","Excellent"))</f>
        <v>Poor</v>
      </c>
      <c r="I56" s="12" t="str">
        <f>IF(D56&lt;20%,"Low Discount",IF(D56&lt;=40%,"Medium Discount","High Discount"))</f>
        <v>High Discount</v>
      </c>
      <c r="J56" s="16" t="str">
        <f>IF(B56&lt;1000,"Low Price",IF(B56&lt;=2000,"Medium Price","High Price"))</f>
        <v>High Price</v>
      </c>
    </row>
    <row r="57" spans="1:10" ht="15.75" x14ac:dyDescent="0.25">
      <c r="A57" s="5" t="s">
        <v>316</v>
      </c>
      <c r="B57" s="14">
        <v>450</v>
      </c>
      <c r="C57" s="14">
        <v>900</v>
      </c>
      <c r="D57" s="1">
        <v>0.5</v>
      </c>
      <c r="E57" s="5">
        <v>1</v>
      </c>
      <c r="F57" s="9">
        <v>2</v>
      </c>
      <c r="G57" s="36">
        <f>(C57-B57)</f>
        <v>450</v>
      </c>
      <c r="H57" s="11" t="str">
        <f>IF(F57&lt;3,"Poor",IF(F57&lt;=4.4,"Average","Excellent"))</f>
        <v>Poor</v>
      </c>
      <c r="I57" s="12" t="str">
        <f>IF(D57&lt;20%,"Low Discount",IF(D57&lt;=40%,"Medium Discount","High Discount"))</f>
        <v>High Discount</v>
      </c>
      <c r="J57" s="16" t="str">
        <f>IF(B57&lt;1000,"Low Price",IF(B57&lt;=2000,"Medium Price","High Price"))</f>
        <v>Low Price</v>
      </c>
    </row>
    <row r="58" spans="1:10" ht="15.75" x14ac:dyDescent="0.25">
      <c r="A58" s="5" t="s">
        <v>314</v>
      </c>
      <c r="B58" s="14">
        <v>199</v>
      </c>
      <c r="C58" s="14">
        <v>553</v>
      </c>
      <c r="D58" s="1">
        <v>0.64</v>
      </c>
      <c r="G58" s="36">
        <f>(C58-B58)</f>
        <v>354</v>
      </c>
      <c r="I58" s="12" t="str">
        <f>IF(D58&lt;20%,"Low Discount",IF(D58&lt;=40%,"Medium Discount","High Discount"))</f>
        <v>High Discount</v>
      </c>
      <c r="J58" s="16" t="str">
        <f>IF(B58&lt;1000,"Low Price",IF(B58&lt;=2000,"Medium Price","High Price"))</f>
        <v>Low Price</v>
      </c>
    </row>
    <row r="59" spans="1:10" ht="15.75" x14ac:dyDescent="0.25">
      <c r="A59" s="5" t="s">
        <v>152</v>
      </c>
      <c r="B59" s="14">
        <v>199</v>
      </c>
      <c r="C59" s="14">
        <v>504</v>
      </c>
      <c r="D59" s="1">
        <v>0.61</v>
      </c>
      <c r="G59" s="36">
        <f>(C59-B59)</f>
        <v>305</v>
      </c>
      <c r="I59" s="12" t="str">
        <f>IF(D59&lt;20%,"Low Discount",IF(D59&lt;=40%,"Medium Discount","High Discount"))</f>
        <v>High Discount</v>
      </c>
      <c r="J59" s="16" t="str">
        <f>IF(B59&lt;1000,"Low Price",IF(B59&lt;=2000,"Medium Price","High Price"))</f>
        <v>Low Price</v>
      </c>
    </row>
    <row r="60" spans="1:10" ht="15.75" x14ac:dyDescent="0.25">
      <c r="A60" s="5" t="s">
        <v>168</v>
      </c>
      <c r="B60" s="14">
        <v>399</v>
      </c>
      <c r="C60" s="14">
        <v>896</v>
      </c>
      <c r="D60" s="1">
        <v>0.55000000000000004</v>
      </c>
      <c r="G60" s="36">
        <f>(C60-B60)</f>
        <v>497</v>
      </c>
      <c r="I60" s="12" t="str">
        <f>IF(D60&lt;20%,"Low Discount",IF(D60&lt;=40%,"Medium Discount","High Discount"))</f>
        <v>High Discount</v>
      </c>
      <c r="J60" s="16" t="str">
        <f>IF(B60&lt;1000,"Low Price",IF(B60&lt;=2000,"Medium Price","High Price"))</f>
        <v>Low Price</v>
      </c>
    </row>
    <row r="61" spans="1:10" ht="15.75" x14ac:dyDescent="0.25">
      <c r="A61" s="5" t="s">
        <v>132</v>
      </c>
      <c r="B61" s="14">
        <v>238</v>
      </c>
      <c r="C61" s="14">
        <v>476</v>
      </c>
      <c r="D61" s="1">
        <v>0.5</v>
      </c>
      <c r="G61" s="36">
        <f>(C61-B61)</f>
        <v>238</v>
      </c>
      <c r="I61" s="12" t="str">
        <f>IF(D61&lt;20%,"Low Discount",IF(D61&lt;=40%,"Medium Discount","High Discount"))</f>
        <v>High Discount</v>
      </c>
      <c r="J61" s="16" t="str">
        <f>IF(B61&lt;1000,"Low Price",IF(B61&lt;=2000,"Medium Price","High Price"))</f>
        <v>Low Price</v>
      </c>
    </row>
    <row r="62" spans="1:10" ht="15.75" x14ac:dyDescent="0.25">
      <c r="A62" s="5" t="s">
        <v>155</v>
      </c>
      <c r="B62" s="14">
        <v>299</v>
      </c>
      <c r="C62" s="14">
        <v>600</v>
      </c>
      <c r="D62" s="1">
        <v>0.5</v>
      </c>
      <c r="G62" s="36">
        <f>(C62-B62)</f>
        <v>301</v>
      </c>
      <c r="I62" s="12" t="str">
        <f>IF(D62&lt;20%,"Low Discount",IF(D62&lt;=40%,"Medium Discount","High Discount"))</f>
        <v>High Discount</v>
      </c>
      <c r="J62" s="16" t="str">
        <f>IF(B62&lt;1000,"Low Price",IF(B62&lt;=2000,"Medium Price","High Price"))</f>
        <v>Low Price</v>
      </c>
    </row>
    <row r="63" spans="1:10" ht="15.75" x14ac:dyDescent="0.25">
      <c r="A63" s="5" t="s">
        <v>267</v>
      </c>
      <c r="B63" s="14">
        <v>850</v>
      </c>
      <c r="C63" s="14">
        <v>1700</v>
      </c>
      <c r="D63" s="1">
        <v>0.5</v>
      </c>
      <c r="G63" s="36">
        <f>(C63-B63)</f>
        <v>850</v>
      </c>
      <c r="I63" s="12" t="str">
        <f>IF(D63&lt;20%,"Low Discount",IF(D63&lt;=40%,"Medium Discount","High Discount"))</f>
        <v>High Discount</v>
      </c>
      <c r="J63" s="16" t="str">
        <f>IF(B63&lt;1000,"Low Price",IF(B63&lt;=2000,"Medium Price","High Price"))</f>
        <v>Low Price</v>
      </c>
    </row>
    <row r="64" spans="1:10" ht="15.75" x14ac:dyDescent="0.25">
      <c r="A64" s="5" t="s">
        <v>141</v>
      </c>
      <c r="B64" s="14">
        <v>999</v>
      </c>
      <c r="C64" s="14">
        <v>2000</v>
      </c>
      <c r="D64" s="1">
        <v>0.5</v>
      </c>
      <c r="G64" s="36">
        <f>(C64-B64)</f>
        <v>1001</v>
      </c>
      <c r="I64" s="12" t="str">
        <f>IF(D64&lt;20%,"Low Discount",IF(D64&lt;=40%,"Medium Discount","High Discount"))</f>
        <v>High Discount</v>
      </c>
      <c r="J64" s="16" t="str">
        <f>IF(B64&lt;1000,"Low Price",IF(B64&lt;=2000,"Medium Price","High Price"))</f>
        <v>Low Price</v>
      </c>
    </row>
    <row r="65" spans="1:10" ht="15.75" x14ac:dyDescent="0.25">
      <c r="A65" s="5" t="s">
        <v>276</v>
      </c>
      <c r="B65" s="14">
        <v>1200</v>
      </c>
      <c r="C65" s="14">
        <v>2400</v>
      </c>
      <c r="D65" s="1">
        <v>0.5</v>
      </c>
      <c r="G65" s="36">
        <f>(C65-B65)</f>
        <v>1200</v>
      </c>
      <c r="I65" s="12" t="str">
        <f>IF(D65&lt;20%,"Low Discount",IF(D65&lt;=40%,"Medium Discount","High Discount"))</f>
        <v>High Discount</v>
      </c>
      <c r="J65" s="16" t="str">
        <f>IF(B65&lt;1000,"Low Price",IF(B65&lt;=2000,"Medium Price","High Price"))</f>
        <v>Medium Price</v>
      </c>
    </row>
    <row r="66" spans="1:10" ht="15.75" x14ac:dyDescent="0.25">
      <c r="A66" s="5" t="s">
        <v>152</v>
      </c>
      <c r="B66" s="14">
        <v>176</v>
      </c>
      <c r="C66" s="14">
        <v>345</v>
      </c>
      <c r="D66" s="1">
        <v>0.49</v>
      </c>
      <c r="G66" s="36">
        <f>(C66-B66)</f>
        <v>169</v>
      </c>
      <c r="I66" s="12" t="str">
        <f>IF(D66&lt;20%,"Low Discount",IF(D66&lt;=40%,"Medium Discount","High Discount"))</f>
        <v>High Discount</v>
      </c>
      <c r="J66" s="16" t="str">
        <f>IF(B66&lt;1000,"Low Price",IF(B66&lt;=2000,"Medium Price","High Price"))</f>
        <v>Low Price</v>
      </c>
    </row>
    <row r="67" spans="1:10" ht="15.75" x14ac:dyDescent="0.25">
      <c r="A67" s="5" t="s">
        <v>238</v>
      </c>
      <c r="B67" s="14">
        <v>230</v>
      </c>
      <c r="C67" s="14">
        <v>450</v>
      </c>
      <c r="D67" s="1">
        <v>0.49</v>
      </c>
      <c r="G67" s="36">
        <f>(C67-B67)</f>
        <v>220</v>
      </c>
      <c r="I67" s="12" t="str">
        <f>IF(D67&lt;20%,"Low Discount",IF(D67&lt;=40%,"Medium Discount","High Discount"))</f>
        <v>High Discount</v>
      </c>
      <c r="J67" s="16" t="str">
        <f>IF(B67&lt;1000,"Low Price",IF(B67&lt;=2000,"Medium Price","High Price"))</f>
        <v>Low Price</v>
      </c>
    </row>
    <row r="68" spans="1:10" ht="15.75" x14ac:dyDescent="0.25">
      <c r="A68" s="5" t="s">
        <v>282</v>
      </c>
      <c r="B68" s="14">
        <v>248</v>
      </c>
      <c r="C68" s="14">
        <v>486</v>
      </c>
      <c r="D68" s="1">
        <v>0.49</v>
      </c>
      <c r="G68" s="36">
        <f>(C68-B68)</f>
        <v>238</v>
      </c>
      <c r="I68" s="12" t="str">
        <f>IF(D68&lt;20%,"Low Discount",IF(D68&lt;=40%,"Medium Discount","High Discount"))</f>
        <v>High Discount</v>
      </c>
      <c r="J68" s="16" t="str">
        <f>IF(B68&lt;1000,"Low Price",IF(B68&lt;=2000,"Medium Price","High Price"))</f>
        <v>Low Price</v>
      </c>
    </row>
    <row r="69" spans="1:10" ht="15.75" x14ac:dyDescent="0.25">
      <c r="A69" s="5" t="s">
        <v>256</v>
      </c>
      <c r="B69" s="14">
        <v>274</v>
      </c>
      <c r="C69" s="14">
        <v>537</v>
      </c>
      <c r="D69" s="1">
        <v>0.49</v>
      </c>
      <c r="G69" s="36">
        <f>(C69-B69)</f>
        <v>263</v>
      </c>
      <c r="I69" s="12" t="str">
        <f>IF(D69&lt;20%,"Low Discount",IF(D69&lt;=40%,"Medium Discount","High Discount"))</f>
        <v>High Discount</v>
      </c>
      <c r="J69" s="16" t="str">
        <f>IF(B69&lt;1000,"Low Price",IF(B69&lt;=2000,"Medium Price","High Price"))</f>
        <v>Low Price</v>
      </c>
    </row>
    <row r="70" spans="1:10" ht="15.75" x14ac:dyDescent="0.25">
      <c r="A70" s="5" t="s">
        <v>129</v>
      </c>
      <c r="B70" s="14">
        <v>475</v>
      </c>
      <c r="C70" s="14">
        <v>931</v>
      </c>
      <c r="D70" s="1">
        <v>0.49</v>
      </c>
      <c r="G70" s="36">
        <f>(C70-B70)</f>
        <v>456</v>
      </c>
      <c r="I70" s="12" t="str">
        <f>IF(D70&lt;20%,"Low Discount",IF(D70&lt;=40%,"Medium Discount","High Discount"))</f>
        <v>High Discount</v>
      </c>
      <c r="J70" s="16" t="str">
        <f>IF(B70&lt;1000,"Low Price",IF(B70&lt;=2000,"Medium Price","High Price"))</f>
        <v>Low Price</v>
      </c>
    </row>
    <row r="71" spans="1:10" ht="15.75" x14ac:dyDescent="0.25">
      <c r="A71" s="5" t="s">
        <v>287</v>
      </c>
      <c r="B71" s="14">
        <v>525</v>
      </c>
      <c r="C71" s="14">
        <v>1029</v>
      </c>
      <c r="D71" s="1">
        <v>0.49</v>
      </c>
      <c r="G71" s="36">
        <f>(C71-B71)</f>
        <v>504</v>
      </c>
      <c r="I71" s="12" t="str">
        <f>IF(D71&lt;20%,"Low Discount",IF(D71&lt;=40%,"Medium Discount","High Discount"))</f>
        <v>High Discount</v>
      </c>
      <c r="J71" s="16" t="str">
        <f>IF(B71&lt;1000,"Low Price",IF(B71&lt;=2000,"Medium Price","High Price"))</f>
        <v>Low Price</v>
      </c>
    </row>
    <row r="72" spans="1:10" ht="15.75" x14ac:dyDescent="0.25">
      <c r="A72" s="5" t="s">
        <v>173</v>
      </c>
      <c r="B72" s="14">
        <v>657</v>
      </c>
      <c r="C72" s="14">
        <v>1288</v>
      </c>
      <c r="D72" s="1">
        <v>0.49</v>
      </c>
      <c r="G72" s="36">
        <f>(C72-B72)</f>
        <v>631</v>
      </c>
      <c r="I72" s="12" t="str">
        <f>IF(D72&lt;20%,"Low Discount",IF(D72&lt;=40%,"Medium Discount","High Discount"))</f>
        <v>High Discount</v>
      </c>
      <c r="J72" s="16" t="str">
        <f>IF(B72&lt;1000,"Low Price",IF(B72&lt;=2000,"Medium Price","High Price"))</f>
        <v>Low Price</v>
      </c>
    </row>
    <row r="73" spans="1:10" ht="15.75" x14ac:dyDescent="0.25">
      <c r="A73" s="5" t="s">
        <v>146</v>
      </c>
      <c r="B73" s="14">
        <v>671</v>
      </c>
      <c r="C73" s="14">
        <v>1316</v>
      </c>
      <c r="D73" s="1">
        <v>0.49</v>
      </c>
      <c r="G73" s="36">
        <f>(C73-B73)</f>
        <v>645</v>
      </c>
      <c r="I73" s="12" t="str">
        <f>IF(D73&lt;20%,"Low Discount",IF(D73&lt;=40%,"Medium Discount","High Discount"))</f>
        <v>High Discount</v>
      </c>
      <c r="J73" s="16" t="str">
        <f>IF(B73&lt;1000,"Low Price",IF(B73&lt;=2000,"Medium Price","High Price"))</f>
        <v>Low Price</v>
      </c>
    </row>
    <row r="74" spans="1:10" ht="15.75" x14ac:dyDescent="0.25">
      <c r="A74" s="5" t="s">
        <v>173</v>
      </c>
      <c r="B74" s="14">
        <v>799</v>
      </c>
      <c r="C74" s="14">
        <v>1567</v>
      </c>
      <c r="D74" s="1">
        <v>0.49</v>
      </c>
      <c r="G74" s="36">
        <f>(C74-B74)</f>
        <v>768</v>
      </c>
      <c r="I74" s="12" t="str">
        <f>IF(D74&lt;20%,"Low Discount",IF(D74&lt;=40%,"Medium Discount","High Discount"))</f>
        <v>High Discount</v>
      </c>
      <c r="J74" s="16" t="str">
        <f>IF(B74&lt;1000,"Low Price",IF(B74&lt;=2000,"Medium Price","High Price"))</f>
        <v>Low Price</v>
      </c>
    </row>
    <row r="75" spans="1:10" ht="15.75" x14ac:dyDescent="0.25">
      <c r="A75" s="5" t="s">
        <v>272</v>
      </c>
      <c r="B75" s="14">
        <v>105</v>
      </c>
      <c r="C75" s="14">
        <v>200</v>
      </c>
      <c r="D75" s="1">
        <v>0.48</v>
      </c>
      <c r="G75" s="36">
        <f>(C75-B75)</f>
        <v>95</v>
      </c>
      <c r="I75" s="12" t="str">
        <f>IF(D75&lt;20%,"Low Discount",IF(D75&lt;=40%,"Medium Discount","High Discount"))</f>
        <v>High Discount</v>
      </c>
      <c r="J75" s="16" t="str">
        <f>IF(B75&lt;1000,"Low Price",IF(B75&lt;=2000,"Medium Price","High Price"))</f>
        <v>Low Price</v>
      </c>
    </row>
    <row r="76" spans="1:10" ht="15.75" x14ac:dyDescent="0.25">
      <c r="A76" s="5" t="s">
        <v>171</v>
      </c>
      <c r="B76" s="14">
        <v>699</v>
      </c>
      <c r="C76" s="14">
        <v>1343</v>
      </c>
      <c r="D76" s="1">
        <v>0.48</v>
      </c>
      <c r="G76" s="36">
        <f>(C76-B76)</f>
        <v>644</v>
      </c>
      <c r="I76" s="12" t="str">
        <f>IF(D76&lt;20%,"Low Discount",IF(D76&lt;=40%,"Medium Discount","High Discount"))</f>
        <v>High Discount</v>
      </c>
      <c r="J76" s="16" t="str">
        <f>IF(B76&lt;1000,"Low Price",IF(B76&lt;=2000,"Medium Price","High Price"))</f>
        <v>Low Price</v>
      </c>
    </row>
    <row r="77" spans="1:10" ht="15.75" x14ac:dyDescent="0.25">
      <c r="A77" s="5" t="s">
        <v>270</v>
      </c>
      <c r="B77" s="14">
        <v>1300</v>
      </c>
      <c r="C77" s="14">
        <v>2500</v>
      </c>
      <c r="D77" s="1">
        <v>0.48</v>
      </c>
      <c r="G77" s="36">
        <f>(C77-B77)</f>
        <v>1200</v>
      </c>
      <c r="I77" s="12" t="str">
        <f>IF(D77&lt;20%,"Low Discount",IF(D77&lt;=40%,"Medium Discount","High Discount"))</f>
        <v>High Discount</v>
      </c>
      <c r="J77" s="16" t="str">
        <f>IF(B77&lt;1000,"Low Price",IF(B77&lt;=2000,"Medium Price","High Price"))</f>
        <v>Medium Price</v>
      </c>
    </row>
    <row r="78" spans="1:10" ht="15.75" x14ac:dyDescent="0.25">
      <c r="A78" s="5" t="s">
        <v>318</v>
      </c>
      <c r="B78" s="14">
        <v>169</v>
      </c>
      <c r="C78" s="14">
        <v>320</v>
      </c>
      <c r="D78" s="1">
        <v>0.47</v>
      </c>
      <c r="G78" s="36">
        <f>(C78-B78)</f>
        <v>151</v>
      </c>
      <c r="I78" s="12" t="str">
        <f>IF(D78&lt;20%,"Low Discount",IF(D78&lt;=40%,"Medium Discount","High Discount"))</f>
        <v>High Discount</v>
      </c>
      <c r="J78" s="16" t="str">
        <f>IF(B78&lt;1000,"Low Price",IF(B78&lt;=2000,"Medium Price","High Price"))</f>
        <v>Low Price</v>
      </c>
    </row>
    <row r="79" spans="1:10" ht="15.75" x14ac:dyDescent="0.25">
      <c r="A79" s="5" t="s">
        <v>230</v>
      </c>
      <c r="B79" s="14">
        <v>790</v>
      </c>
      <c r="C79" s="14">
        <v>1485</v>
      </c>
      <c r="D79" s="1">
        <v>0.47</v>
      </c>
      <c r="G79" s="36">
        <f>(C79-B79)</f>
        <v>695</v>
      </c>
      <c r="I79" s="12" t="str">
        <f>IF(D79&lt;20%,"Low Discount",IF(D79&lt;=40%,"Medium Discount","High Discount"))</f>
        <v>High Discount</v>
      </c>
      <c r="J79" s="16" t="str">
        <f>IF(B79&lt;1000,"Low Price",IF(B79&lt;=2000,"Medium Price","High Price"))</f>
        <v>Low Price</v>
      </c>
    </row>
    <row r="80" spans="1:10" ht="15.75" x14ac:dyDescent="0.25">
      <c r="A80" s="5" t="s">
        <v>275</v>
      </c>
      <c r="B80" s="14">
        <v>899</v>
      </c>
      <c r="C80" s="14">
        <v>1699</v>
      </c>
      <c r="D80" s="1">
        <v>0.47</v>
      </c>
      <c r="G80" s="36">
        <f>(C80-B80)</f>
        <v>800</v>
      </c>
      <c r="I80" s="12" t="str">
        <f>IF(D80&lt;20%,"Low Discount",IF(D80&lt;=40%,"Medium Discount","High Discount"))</f>
        <v>High Discount</v>
      </c>
      <c r="J80" s="16" t="str">
        <f>IF(B80&lt;1000,"Low Price",IF(B80&lt;=2000,"Medium Price","High Price"))</f>
        <v>Low Price</v>
      </c>
    </row>
    <row r="81" spans="1:10" ht="15.75" x14ac:dyDescent="0.25">
      <c r="A81" s="5" t="s">
        <v>97</v>
      </c>
      <c r="B81" s="14">
        <v>2200</v>
      </c>
      <c r="C81" s="14">
        <v>4080</v>
      </c>
      <c r="D81" s="1">
        <v>0.46</v>
      </c>
      <c r="G81" s="36">
        <f>(C81-B81)</f>
        <v>1880</v>
      </c>
      <c r="I81" s="12" t="str">
        <f>IF(D81&lt;20%,"Low Discount",IF(D81&lt;=40%,"Medium Discount","High Discount"))</f>
        <v>High Discount</v>
      </c>
      <c r="J81" s="16" t="str">
        <f>IF(B81&lt;1000,"Low Price",IF(B81&lt;=2000,"Medium Price","High Price"))</f>
        <v>High Price</v>
      </c>
    </row>
    <row r="82" spans="1:10" ht="15.75" x14ac:dyDescent="0.25">
      <c r="A82" s="5" t="s">
        <v>168</v>
      </c>
      <c r="B82" s="14">
        <v>499</v>
      </c>
      <c r="C82" s="14">
        <v>900</v>
      </c>
      <c r="D82" s="1">
        <v>0.45</v>
      </c>
      <c r="G82" s="36">
        <f>(C82-B82)</f>
        <v>401</v>
      </c>
      <c r="I82" s="12" t="str">
        <f>IF(D82&lt;20%,"Low Discount",IF(D82&lt;=40%,"Medium Discount","High Discount"))</f>
        <v>High Discount</v>
      </c>
      <c r="J82" s="16" t="str">
        <f>IF(B82&lt;1000,"Low Price",IF(B82&lt;=2000,"Medium Price","High Price"))</f>
        <v>Low Price</v>
      </c>
    </row>
    <row r="83" spans="1:10" ht="15.75" x14ac:dyDescent="0.25">
      <c r="A83" s="5" t="s">
        <v>264</v>
      </c>
      <c r="B83" s="14">
        <v>630</v>
      </c>
      <c r="C83" s="14">
        <v>1100</v>
      </c>
      <c r="D83" s="1">
        <v>0.43</v>
      </c>
      <c r="G83" s="36">
        <f>(C83-B83)</f>
        <v>470</v>
      </c>
      <c r="I83" s="12" t="str">
        <f>IF(D83&lt;20%,"Low Discount",IF(D83&lt;=40%,"Medium Discount","High Discount"))</f>
        <v>High Discount</v>
      </c>
      <c r="J83" s="16" t="str">
        <f>IF(B83&lt;1000,"Low Price",IF(B83&lt;=2000,"Medium Price","High Price"))</f>
        <v>Low Price</v>
      </c>
    </row>
    <row r="84" spans="1:10" ht="15.75" x14ac:dyDescent="0.25">
      <c r="A84" s="5" t="s">
        <v>233</v>
      </c>
      <c r="B84" s="14">
        <v>690</v>
      </c>
      <c r="C84" s="14">
        <v>1200</v>
      </c>
      <c r="D84" s="1">
        <v>0.43</v>
      </c>
      <c r="G84" s="36">
        <f>(C84-B84)</f>
        <v>510</v>
      </c>
      <c r="I84" s="12" t="str">
        <f>IF(D84&lt;20%,"Low Discount",IF(D84&lt;=40%,"Medium Discount","High Discount"))</f>
        <v>High Discount</v>
      </c>
      <c r="J84" s="16" t="str">
        <f>IF(B84&lt;1000,"Low Price",IF(B84&lt;=2000,"Medium Price","High Price"))</f>
        <v>Low Price</v>
      </c>
    </row>
    <row r="85" spans="1:10" ht="15.75" x14ac:dyDescent="0.25">
      <c r="A85" s="5" t="s">
        <v>135</v>
      </c>
      <c r="B85" s="14">
        <v>610</v>
      </c>
      <c r="C85" s="14">
        <v>1060</v>
      </c>
      <c r="D85" s="1">
        <v>0.42</v>
      </c>
      <c r="G85" s="36">
        <f>(C85-B85)</f>
        <v>450</v>
      </c>
      <c r="I85" s="12" t="str">
        <f>IF(D85&lt;20%,"Low Discount",IF(D85&lt;=40%,"Medium Discount","High Discount"))</f>
        <v>High Discount</v>
      </c>
      <c r="J85" s="16" t="str">
        <f>IF(B85&lt;1000,"Low Price",IF(B85&lt;=2000,"Medium Price","High Price"))</f>
        <v>Low Price</v>
      </c>
    </row>
    <row r="86" spans="1:10" ht="15.75" x14ac:dyDescent="0.25">
      <c r="A86" s="5" t="s">
        <v>290</v>
      </c>
      <c r="B86" s="14">
        <v>1080</v>
      </c>
      <c r="C86" s="14">
        <v>1874</v>
      </c>
      <c r="D86" s="1">
        <v>0.42</v>
      </c>
      <c r="G86" s="36">
        <f>(C86-B86)</f>
        <v>794</v>
      </c>
      <c r="I86" s="12" t="str">
        <f>IF(D86&lt;20%,"Low Discount",IF(D86&lt;=40%,"Medium Discount","High Discount"))</f>
        <v>High Discount</v>
      </c>
      <c r="J86" s="16" t="str">
        <f>IF(B86&lt;1000,"Low Price",IF(B86&lt;=2000,"Medium Price","High Price"))</f>
        <v>Medium Price</v>
      </c>
    </row>
    <row r="87" spans="1:10" ht="15.75" x14ac:dyDescent="0.25">
      <c r="A87" s="5" t="s">
        <v>73</v>
      </c>
      <c r="B87" s="14">
        <v>1860</v>
      </c>
      <c r="C87" s="14">
        <v>3220</v>
      </c>
      <c r="D87" s="1">
        <v>0.42</v>
      </c>
      <c r="G87" s="36">
        <f>(C87-B87)</f>
        <v>1360</v>
      </c>
      <c r="I87" s="12" t="str">
        <f>IF(D87&lt;20%,"Low Discount",IF(D87&lt;=40%,"Medium Discount","High Discount"))</f>
        <v>High Discount</v>
      </c>
      <c r="J87" s="16" t="str">
        <f>IF(B87&lt;1000,"Low Price",IF(B87&lt;=2000,"Medium Price","High Price"))</f>
        <v>Medium Price</v>
      </c>
    </row>
    <row r="88" spans="1:10" ht="15.75" x14ac:dyDescent="0.25">
      <c r="A88" s="5" t="s">
        <v>166</v>
      </c>
      <c r="B88" s="14">
        <v>799</v>
      </c>
      <c r="C88" s="14">
        <v>1343</v>
      </c>
      <c r="D88" s="1">
        <v>0.41</v>
      </c>
      <c r="G88" s="36">
        <f>(C88-B88)</f>
        <v>544</v>
      </c>
      <c r="I88" s="12" t="str">
        <f>IF(D88&lt;20%,"Low Discount",IF(D88&lt;=40%,"Medium Discount","High Discount"))</f>
        <v>High Discount</v>
      </c>
      <c r="J88" s="16" t="str">
        <f>IF(B88&lt;1000,"Low Price",IF(B88&lt;=2000,"Medium Price","High Price"))</f>
        <v>Low Price</v>
      </c>
    </row>
    <row r="89" spans="1:10" ht="15.75" x14ac:dyDescent="0.25">
      <c r="A89" s="5" t="s">
        <v>296</v>
      </c>
      <c r="B89" s="14">
        <v>1420</v>
      </c>
      <c r="C89" s="14">
        <v>2420</v>
      </c>
      <c r="D89" s="1">
        <v>0.41</v>
      </c>
      <c r="G89" s="36">
        <f>(C89-B89)</f>
        <v>1000</v>
      </c>
      <c r="I89" s="12" t="str">
        <f>IF(D89&lt;20%,"Low Discount",IF(D89&lt;=40%,"Medium Discount","High Discount"))</f>
        <v>High Discount</v>
      </c>
      <c r="J89" s="16" t="str">
        <f>IF(B89&lt;1000,"Low Price",IF(B89&lt;=2000,"Medium Price","High Price"))</f>
        <v>Medium Price</v>
      </c>
    </row>
    <row r="90" spans="1:10" ht="15.75" x14ac:dyDescent="0.25">
      <c r="A90" s="5" t="s">
        <v>149</v>
      </c>
      <c r="B90" s="14">
        <v>1200</v>
      </c>
      <c r="C90" s="14">
        <v>1950</v>
      </c>
      <c r="D90" s="1">
        <v>0.38</v>
      </c>
      <c r="G90" s="36">
        <f>(C90-B90)</f>
        <v>750</v>
      </c>
      <c r="I90" s="12" t="str">
        <f>IF(D90&lt;20%,"Low Discount",IF(D90&lt;=40%,"Medium Discount","High Discount"))</f>
        <v>Medium Discount</v>
      </c>
      <c r="J90" s="16" t="str">
        <f>IF(B90&lt;1000,"Low Price",IF(B90&lt;=2000,"Medium Price","High Price"))</f>
        <v>Medium Price</v>
      </c>
    </row>
    <row r="91" spans="1:10" ht="15.75" x14ac:dyDescent="0.25">
      <c r="A91" s="5" t="s">
        <v>126</v>
      </c>
      <c r="B91" s="14">
        <v>2750</v>
      </c>
      <c r="C91" s="14">
        <v>4471</v>
      </c>
      <c r="D91" s="1">
        <v>0.38</v>
      </c>
      <c r="G91" s="36">
        <f>(C91-B91)</f>
        <v>1721</v>
      </c>
      <c r="I91" s="12" t="str">
        <f>IF(D91&lt;20%,"Low Discount",IF(D91&lt;=40%,"Medium Discount","High Discount"))</f>
        <v>Medium Discount</v>
      </c>
      <c r="J91" s="16" t="str">
        <f>IF(B91&lt;1000,"Low Price",IF(B91&lt;=2000,"Medium Price","High Price"))</f>
        <v>High Price</v>
      </c>
    </row>
    <row r="92" spans="1:10" ht="15.75" x14ac:dyDescent="0.25">
      <c r="A92" s="5" t="s">
        <v>246</v>
      </c>
      <c r="B92" s="14">
        <v>1460</v>
      </c>
      <c r="C92" s="14">
        <v>2290</v>
      </c>
      <c r="D92" s="1">
        <v>0.36</v>
      </c>
      <c r="G92" s="36">
        <f>(C92-B92)</f>
        <v>830</v>
      </c>
      <c r="I92" s="12" t="str">
        <f>IF(D92&lt;20%,"Low Discount",IF(D92&lt;=40%,"Medium Discount","High Discount"))</f>
        <v>Medium Discount</v>
      </c>
      <c r="J92" s="16" t="str">
        <f>IF(B92&lt;1000,"Low Price",IF(B92&lt;=2000,"Medium Price","High Price"))</f>
        <v>Medium Price</v>
      </c>
    </row>
    <row r="93" spans="1:10" ht="15.75" x14ac:dyDescent="0.25">
      <c r="A93" s="5" t="s">
        <v>305</v>
      </c>
      <c r="B93" s="14">
        <v>1150</v>
      </c>
      <c r="C93" s="14">
        <v>1737</v>
      </c>
      <c r="D93" s="1">
        <v>0.34</v>
      </c>
      <c r="G93" s="36">
        <f>(C93-B93)</f>
        <v>587</v>
      </c>
      <c r="I93" s="12" t="str">
        <f>IF(D93&lt;20%,"Low Discount",IF(D93&lt;=40%,"Medium Discount","High Discount"))</f>
        <v>Medium Discount</v>
      </c>
      <c r="J93" s="16" t="str">
        <f>IF(B93&lt;1000,"Low Price",IF(B93&lt;=2000,"Medium Price","High Price"))</f>
        <v>Medium Price</v>
      </c>
    </row>
    <row r="94" spans="1:10" ht="15.75" x14ac:dyDescent="0.25">
      <c r="A94" s="5" t="s">
        <v>308</v>
      </c>
      <c r="B94" s="14">
        <v>1190</v>
      </c>
      <c r="C94" s="14">
        <v>1810</v>
      </c>
      <c r="D94" s="1">
        <v>0.34</v>
      </c>
      <c r="G94" s="36">
        <f>(C94-B94)</f>
        <v>620</v>
      </c>
      <c r="I94" s="12" t="str">
        <f>IF(D94&lt;20%,"Low Discount",IF(D94&lt;=40%,"Medium Discount","High Discount"))</f>
        <v>Medium Discount</v>
      </c>
      <c r="J94" s="16" t="str">
        <f>IF(B94&lt;1000,"Low Price",IF(B94&lt;=2000,"Medium Price","High Price"))</f>
        <v>Medium Price</v>
      </c>
    </row>
    <row r="95" spans="1:10" ht="15.75" x14ac:dyDescent="0.25">
      <c r="A95" s="5" t="s">
        <v>143</v>
      </c>
      <c r="B95" s="14">
        <v>1190</v>
      </c>
      <c r="C95" s="14">
        <v>1785</v>
      </c>
      <c r="D95" s="1">
        <v>0.33</v>
      </c>
      <c r="G95" s="36">
        <f>(C95-B95)</f>
        <v>595</v>
      </c>
      <c r="I95" s="12" t="str">
        <f>IF(D95&lt;20%,"Low Discount",IF(D95&lt;=40%,"Medium Discount","High Discount"))</f>
        <v>Medium Discount</v>
      </c>
      <c r="J95" s="16" t="str">
        <f>IF(B95&lt;1000,"Low Price",IF(B95&lt;=2000,"Medium Price","High Price"))</f>
        <v>Medium Price</v>
      </c>
    </row>
    <row r="96" spans="1:10" ht="15.75" x14ac:dyDescent="0.25">
      <c r="A96" s="5" t="s">
        <v>175</v>
      </c>
      <c r="B96" s="14">
        <v>2799</v>
      </c>
      <c r="C96" s="14">
        <v>3810</v>
      </c>
      <c r="D96" s="1">
        <v>0.27</v>
      </c>
      <c r="G96" s="36">
        <f>(C96-B96)</f>
        <v>1011</v>
      </c>
      <c r="I96" s="12" t="str">
        <f>IF(D96&lt;20%,"Low Discount",IF(D96&lt;=40%,"Medium Discount","High Discount"))</f>
        <v>Medium Discount</v>
      </c>
      <c r="J96" s="16" t="str">
        <f>IF(B96&lt;1000,"Low Price",IF(B96&lt;=2000,"Medium Price","High Price"))</f>
        <v>High Price</v>
      </c>
    </row>
    <row r="97" spans="1:10" ht="15.75" x14ac:dyDescent="0.25">
      <c r="A97" s="5" t="s">
        <v>302</v>
      </c>
      <c r="B97" s="14">
        <v>198</v>
      </c>
      <c r="C97" s="14">
        <v>260</v>
      </c>
      <c r="D97" s="1">
        <v>0.24</v>
      </c>
      <c r="G97" s="36">
        <f>(C97-B97)</f>
        <v>62</v>
      </c>
      <c r="I97" s="12" t="str">
        <f>IF(D97&lt;20%,"Low Discount",IF(D97&lt;=40%,"Medium Discount","High Discount"))</f>
        <v>Medium Discount</v>
      </c>
      <c r="J97" s="16" t="str">
        <f>IF(B97&lt;1000,"Low Price",IF(B97&lt;=2000,"Medium Price","High Price"))</f>
        <v>Low Price</v>
      </c>
    </row>
    <row r="98" spans="1:10" ht="15.75" x14ac:dyDescent="0.25">
      <c r="A98" s="5" t="s">
        <v>161</v>
      </c>
      <c r="B98" s="14">
        <v>299</v>
      </c>
      <c r="C98" s="14">
        <v>384</v>
      </c>
      <c r="D98" s="1">
        <v>0.22</v>
      </c>
      <c r="G98" s="36">
        <f>(C98-B98)</f>
        <v>85</v>
      </c>
      <c r="I98" s="12" t="str">
        <f>IF(D98&lt;20%,"Low Discount",IF(D98&lt;=40%,"Medium Discount","High Discount"))</f>
        <v>Medium Discount</v>
      </c>
      <c r="J98" s="16" t="str">
        <f>IF(B98&lt;1000,"Low Price",IF(B98&lt;=2000,"Medium Price","High Price"))</f>
        <v>Low Price</v>
      </c>
    </row>
    <row r="99" spans="1:10" ht="15.75" x14ac:dyDescent="0.25">
      <c r="A99" s="5" t="s">
        <v>254</v>
      </c>
      <c r="B99" s="14">
        <v>1466</v>
      </c>
      <c r="C99" s="14">
        <v>1699</v>
      </c>
      <c r="D99" s="1">
        <v>0.14000000000000001</v>
      </c>
      <c r="G99" s="36">
        <f>(C99-B99)</f>
        <v>233</v>
      </c>
      <c r="I99" s="12" t="str">
        <f>IF(D99&lt;20%,"Low Discount",IF(D99&lt;=40%,"Medium Discount","High Discount"))</f>
        <v>Low Discount</v>
      </c>
      <c r="J99" s="16" t="str">
        <f>IF(B99&lt;1000,"Low Price",IF(B99&lt;=2000,"Medium Price","High Price"))</f>
        <v>Medium Price</v>
      </c>
    </row>
    <row r="100" spans="1:10" ht="15.75" x14ac:dyDescent="0.25">
      <c r="A100" s="5" t="s">
        <v>262</v>
      </c>
      <c r="B100" s="14">
        <v>1468</v>
      </c>
      <c r="C100" s="14">
        <v>1699</v>
      </c>
      <c r="D100" s="1">
        <v>0.14000000000000001</v>
      </c>
      <c r="G100" s="36">
        <f>(C100-B100)</f>
        <v>231</v>
      </c>
      <c r="I100" s="12" t="str">
        <f>IF(D100&lt;20%,"Low Discount",IF(D100&lt;=40%,"Medium Discount","High Discount"))</f>
        <v>Low Discount</v>
      </c>
      <c r="J100" s="16" t="str">
        <f>IF(B100&lt;1000,"Low Price",IF(B100&lt;=2000,"Medium Price","High Price"))</f>
        <v>Medium Price</v>
      </c>
    </row>
    <row r="101" spans="1:10" ht="15.75" x14ac:dyDescent="0.25">
      <c r="A101" s="5" t="s">
        <v>259</v>
      </c>
      <c r="B101" s="14">
        <v>799</v>
      </c>
      <c r="C101" s="14">
        <v>900</v>
      </c>
      <c r="D101" s="1">
        <v>0.11</v>
      </c>
      <c r="G101" s="36">
        <f>(C101-B101)</f>
        <v>101</v>
      </c>
      <c r="I101" s="12" t="str">
        <f>IF(D101&lt;20%,"Low Discount",IF(D101&lt;=40%,"Medium Discount","High Discount"))</f>
        <v>Low Discount</v>
      </c>
      <c r="J101" s="16" t="str">
        <f>IF(B101&lt;1000,"Low Price",IF(B101&lt;=2000,"Medium Price","High Price"))</f>
        <v>Low Price</v>
      </c>
    </row>
    <row r="102" spans="1:10" ht="15.75" x14ac:dyDescent="0.25">
      <c r="A102" s="5" t="s">
        <v>278</v>
      </c>
      <c r="B102" s="14">
        <v>1526</v>
      </c>
      <c r="C102" s="14">
        <v>1660</v>
      </c>
      <c r="D102" s="1">
        <v>0.08</v>
      </c>
      <c r="G102" s="36">
        <f>(C102-B102)</f>
        <v>134</v>
      </c>
      <c r="I102" s="12" t="str">
        <f>IF(D102&lt;20%,"Low Discount",IF(D102&lt;=40%,"Medium Discount","High Discount"))</f>
        <v>Low Discount</v>
      </c>
      <c r="J102" s="16" t="str">
        <f>IF(B102&lt;1000,"Low Price",IF(B102&lt;=2000,"Medium Price","High Price"))</f>
        <v>Medium Price</v>
      </c>
    </row>
    <row r="103" spans="1:10" ht="15.75" x14ac:dyDescent="0.25">
      <c r="A103" s="5" t="s">
        <v>235</v>
      </c>
      <c r="B103" s="14">
        <v>1732</v>
      </c>
      <c r="C103" s="14">
        <v>1799</v>
      </c>
      <c r="D103" s="1">
        <v>0.04</v>
      </c>
      <c r="G103" s="36">
        <f>(C103-B103)</f>
        <v>67</v>
      </c>
      <c r="I103" s="12" t="str">
        <f>IF(D103&lt;20%,"Low Discount",IF(D103&lt;=40%,"Medium Discount","High Discount"))</f>
        <v>Low Discount</v>
      </c>
      <c r="J103" s="16" t="str">
        <f>IF(B103&lt;1000,"Low Price",IF(B103&lt;=2000,"Medium Price","High Price"))</f>
        <v>Medium Price</v>
      </c>
    </row>
    <row r="104" spans="1:10" ht="15.75" x14ac:dyDescent="0.25">
      <c r="A104" s="5" t="s">
        <v>285</v>
      </c>
      <c r="B104" s="14">
        <v>3546</v>
      </c>
      <c r="C104" s="14">
        <v>3699</v>
      </c>
      <c r="D104" s="1">
        <v>0.04</v>
      </c>
      <c r="G104" s="36">
        <f>(C104-B104)</f>
        <v>153</v>
      </c>
      <c r="I104" s="12" t="str">
        <f>IF(D104&lt;20%,"Low Discount",IF(D104&lt;=40%,"Medium Discount","High Discount"))</f>
        <v>Low Discount</v>
      </c>
      <c r="J104" s="16" t="str">
        <f>IF(B104&lt;1000,"Low Price",IF(B104&lt;=2000,"Medium Price","High Price"))</f>
        <v>High Price</v>
      </c>
    </row>
    <row r="105" spans="1:10" ht="15.75" x14ac:dyDescent="0.25">
      <c r="A105" s="5" t="s">
        <v>163</v>
      </c>
      <c r="B105" s="14">
        <v>1459</v>
      </c>
      <c r="C105" s="14">
        <v>1499</v>
      </c>
      <c r="D105" s="1">
        <v>0.03</v>
      </c>
      <c r="G105" s="36">
        <f>(C105-B105)</f>
        <v>40</v>
      </c>
      <c r="I105" s="12" t="str">
        <f>IF(D105&lt;20%,"Low Discount",IF(D105&lt;=40%,"Medium Discount","High Discount"))</f>
        <v>Low Discount</v>
      </c>
      <c r="J105" s="16" t="str">
        <f>IF(B105&lt;1000,"Low Price",IF(B105&lt;=2000,"Medium Price","High Price"))</f>
        <v>Medium Price</v>
      </c>
    </row>
    <row r="106" spans="1:10" ht="15.75" x14ac:dyDescent="0.25">
      <c r="A106" s="5" t="s">
        <v>280</v>
      </c>
      <c r="B106" s="14">
        <v>1462</v>
      </c>
      <c r="C106" s="14">
        <v>1499</v>
      </c>
      <c r="D106" s="1">
        <v>0.02</v>
      </c>
      <c r="G106" s="36">
        <f>(C106-B106)</f>
        <v>37</v>
      </c>
      <c r="I106" s="12" t="str">
        <f>IF(D106&lt;20%,"Low Discount",IF(D106&lt;=40%,"Medium Discount","High Discount"))</f>
        <v>Low Discount</v>
      </c>
      <c r="J106" s="16" t="str">
        <f>IF(B106&lt;1000,"Low Price",IF(B106&lt;=2000,"Medium Price","High Price"))</f>
        <v>Medium Price</v>
      </c>
    </row>
    <row r="107" spans="1:10" ht="15.75" x14ac:dyDescent="0.25">
      <c r="A107" s="5" t="s">
        <v>310</v>
      </c>
      <c r="B107" s="14">
        <v>1658</v>
      </c>
      <c r="C107" s="14">
        <v>1699</v>
      </c>
      <c r="D107" s="1">
        <v>0.02</v>
      </c>
      <c r="G107" s="36">
        <f>(C107-B107)</f>
        <v>41</v>
      </c>
      <c r="I107" s="12" t="str">
        <f>IF(D107&lt;20%,"Low Discount",IF(D107&lt;=40%,"Medium Discount","High Discount"))</f>
        <v>Low Discount</v>
      </c>
      <c r="J107" s="16" t="str">
        <f>IF(B107&lt;1000,"Low Price",IF(B107&lt;=2000,"Medium Price","High Price"))</f>
        <v>Medium Price</v>
      </c>
    </row>
    <row r="108" spans="1:10" ht="15.75" x14ac:dyDescent="0.25">
      <c r="A108" s="5" t="s">
        <v>158</v>
      </c>
      <c r="B108" s="14">
        <v>1660</v>
      </c>
      <c r="C108" s="14">
        <v>1699</v>
      </c>
      <c r="D108" s="1">
        <v>0.02</v>
      </c>
      <c r="G108" s="36">
        <f>(C108-B108)</f>
        <v>39</v>
      </c>
      <c r="I108" s="12" t="str">
        <f>IF(D108&lt;20%,"Low Discount",IF(D108&lt;=40%,"Medium Discount","High Discount"))</f>
        <v>Low Discount</v>
      </c>
      <c r="J108" s="16" t="str">
        <f>IF(B108&lt;1000,"Low Price",IF(B108&lt;=2000,"Medium Price","High Price"))</f>
        <v>Medium Price</v>
      </c>
    </row>
    <row r="109" spans="1:10" ht="15.75" x14ac:dyDescent="0.25">
      <c r="A109" s="5" t="s">
        <v>249</v>
      </c>
      <c r="B109" s="14">
        <v>1666</v>
      </c>
      <c r="C109" s="14">
        <v>1699</v>
      </c>
      <c r="D109" s="1">
        <v>0.02</v>
      </c>
      <c r="G109" s="36">
        <f>(C109-B109)</f>
        <v>33</v>
      </c>
      <c r="I109" s="12" t="str">
        <f>IF(D109&lt;20%,"Low Discount",IF(D109&lt;=40%,"Medium Discount","High Discount"))</f>
        <v>Low Discount</v>
      </c>
      <c r="J109" s="16" t="str">
        <f>IF(B109&lt;1000,"Low Price",IF(B109&lt;=2000,"Medium Price","High Price"))</f>
        <v>Medium Price</v>
      </c>
    </row>
    <row r="110" spans="1:10" ht="15.75" x14ac:dyDescent="0.25">
      <c r="A110" s="5" t="s">
        <v>312</v>
      </c>
      <c r="B110" s="14">
        <v>1768</v>
      </c>
      <c r="C110" s="14">
        <v>1799</v>
      </c>
      <c r="D110" s="1">
        <v>0.02</v>
      </c>
      <c r="G110" s="36">
        <f>(C110-B110)</f>
        <v>31</v>
      </c>
      <c r="I110" s="12" t="str">
        <f>IF(D110&lt;20%,"Low Discount",IF(D110&lt;=40%,"Medium Discount","High Discount"))</f>
        <v>Low Discount</v>
      </c>
      <c r="J110" s="16" t="str">
        <f>IF(B110&lt;1000,"Low Price",IF(B110&lt;=2000,"Medium Price","High Price"))</f>
        <v>Medium Price</v>
      </c>
    </row>
    <row r="111" spans="1:10" ht="15.75" x14ac:dyDescent="0.25">
      <c r="A111" s="5" t="s">
        <v>138</v>
      </c>
      <c r="B111" s="14">
        <v>2132</v>
      </c>
      <c r="C111" s="14">
        <v>2169</v>
      </c>
      <c r="D111" s="1">
        <v>0.02</v>
      </c>
      <c r="G111" s="36">
        <f>(C111-B111)</f>
        <v>37</v>
      </c>
      <c r="I111" s="12" t="str">
        <f>IF(D111&lt;20%,"Low Discount",IF(D111&lt;=40%,"Medium Discount","High Discount"))</f>
        <v>Low Discount</v>
      </c>
      <c r="J111" s="16" t="str">
        <f>IF(B111&lt;1000,"Low Price",IF(B111&lt;=2000,"Medium Price","High Price"))</f>
        <v>High Price</v>
      </c>
    </row>
    <row r="112" spans="1:10" ht="15.75" x14ac:dyDescent="0.25">
      <c r="A112" s="5" t="s">
        <v>299</v>
      </c>
      <c r="B112" s="14">
        <v>1875</v>
      </c>
      <c r="C112" s="14">
        <v>1899</v>
      </c>
      <c r="D112" s="1">
        <v>0.01</v>
      </c>
      <c r="G112" s="36">
        <f>(C112-B112)</f>
        <v>24</v>
      </c>
      <c r="I112" s="12" t="str">
        <f>IF(D112&lt;20%,"Low Discount",IF(D112&lt;=40%,"Medium Discount","High Discount"))</f>
        <v>Low Discount</v>
      </c>
      <c r="J112" s="16" t="str">
        <f>IF(B112&lt;1000,"Low Price",IF(B112&lt;=2000,"Medium Price","High Price"))</f>
        <v>Medium Price</v>
      </c>
    </row>
    <row r="113" spans="9:9" ht="15.75" x14ac:dyDescent="0.25">
      <c r="I113" s="12"/>
    </row>
    <row r="114" spans="9:9" ht="15.75" x14ac:dyDescent="0.25">
      <c r="I114" s="12"/>
    </row>
    <row r="115" spans="9:9" ht="15.75" x14ac:dyDescent="0.25">
      <c r="I115" s="12"/>
    </row>
    <row r="116" spans="9:9" ht="15.75" x14ac:dyDescent="0.25">
      <c r="I116" s="12"/>
    </row>
    <row r="117" spans="9:9" ht="15.75" x14ac:dyDescent="0.25">
      <c r="I117" s="12"/>
    </row>
  </sheetData>
  <sortState xmlns:xlrd2="http://schemas.microsoft.com/office/spreadsheetml/2017/richdata2" ref="A2:J122">
    <sortCondition descending="1" ref="D1:D122"/>
  </sortState>
  <phoneticPr fontId="23" type="noConversion"/>
  <conditionalFormatting sqref="A2:L112">
    <cfRule type="top10" priority="2" rank="10"/>
  </conditionalFormatting>
  <conditionalFormatting sqref="A1:XFD1048576">
    <cfRule type="colorScale" priority="1">
      <colorScale>
        <cfvo type="formula" val="&quot;h2&quot;"/>
        <cfvo type="max"/>
        <color rgb="FF00B050"/>
        <color rgb="FFFFEF9C"/>
      </colorScale>
    </cfRule>
  </conditionalFormatting>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4471F7-D133-4560-9881-00FDD7446B2C}">
  <dimension ref="A1:H65"/>
  <sheetViews>
    <sheetView topLeftCell="A27" workbookViewId="0">
      <selection activeCell="E28" sqref="E28:F38"/>
    </sheetView>
  </sheetViews>
  <sheetFormatPr defaultRowHeight="15" x14ac:dyDescent="0.25"/>
  <cols>
    <col min="1" max="1" width="13.42578125" bestFit="1" customWidth="1"/>
    <col min="2" max="2" width="16.42578125" style="34" bestFit="1" customWidth="1"/>
    <col min="3" max="3" width="17.7109375" bestFit="1" customWidth="1"/>
    <col min="4" max="4" width="19.28515625" bestFit="1" customWidth="1"/>
    <col min="5" max="5" width="60.28515625" customWidth="1"/>
    <col min="6" max="6" width="16.5703125" style="7" customWidth="1"/>
    <col min="7" max="8" width="13.7109375" bestFit="1" customWidth="1"/>
  </cols>
  <sheetData>
    <row r="1" spans="1:8" x14ac:dyDescent="0.25">
      <c r="A1" s="22" t="s">
        <v>327</v>
      </c>
      <c r="B1" s="20">
        <v>112</v>
      </c>
    </row>
    <row r="2" spans="1:8" x14ac:dyDescent="0.25">
      <c r="A2" s="22" t="s">
        <v>328</v>
      </c>
      <c r="B2" s="34">
        <v>1181.3693693693695</v>
      </c>
    </row>
    <row r="3" spans="1:8" x14ac:dyDescent="0.25">
      <c r="A3" s="22" t="s">
        <v>329</v>
      </c>
      <c r="B3" s="20">
        <v>1803.099099099099</v>
      </c>
    </row>
    <row r="4" spans="1:8" x14ac:dyDescent="0.25">
      <c r="A4" s="22" t="s">
        <v>330</v>
      </c>
      <c r="B4" s="18">
        <v>0.36765765765765768</v>
      </c>
    </row>
    <row r="5" spans="1:8" x14ac:dyDescent="0.25">
      <c r="A5" s="22" t="s">
        <v>331</v>
      </c>
      <c r="B5" s="20">
        <v>3.8785714285714286</v>
      </c>
    </row>
    <row r="6" spans="1:8" x14ac:dyDescent="0.25">
      <c r="A6" s="22" t="s">
        <v>332</v>
      </c>
      <c r="B6" s="20">
        <v>721</v>
      </c>
    </row>
    <row r="7" spans="1:8" x14ac:dyDescent="0.25">
      <c r="A7" s="22" t="s">
        <v>333</v>
      </c>
      <c r="B7" s="37" t="s">
        <v>69</v>
      </c>
    </row>
    <row r="8" spans="1:8" x14ac:dyDescent="0.25">
      <c r="A8" s="22" t="s">
        <v>334</v>
      </c>
      <c r="B8" s="20">
        <v>38</v>
      </c>
    </row>
    <row r="9" spans="1:8" x14ac:dyDescent="0.25">
      <c r="A9" s="22" t="s">
        <v>335</v>
      </c>
      <c r="B9" s="37" t="s">
        <v>210</v>
      </c>
    </row>
    <row r="10" spans="1:8" x14ac:dyDescent="0.25">
      <c r="A10" s="22" t="s">
        <v>336</v>
      </c>
      <c r="B10" s="20">
        <v>3750</v>
      </c>
    </row>
    <row r="12" spans="1:8" x14ac:dyDescent="0.25">
      <c r="A12" s="25" t="s">
        <v>324</v>
      </c>
      <c r="C12" s="16"/>
      <c r="D12" s="16"/>
    </row>
    <row r="13" spans="1:8" ht="15.75" x14ac:dyDescent="0.25">
      <c r="A13" s="23" t="s">
        <v>337</v>
      </c>
      <c r="B13" s="34" t="s">
        <v>348</v>
      </c>
      <c r="C13" s="16" t="s">
        <v>349</v>
      </c>
      <c r="D13" s="16" t="s">
        <v>350</v>
      </c>
      <c r="F13" s="21" t="s">
        <v>359</v>
      </c>
      <c r="G13" s="16"/>
      <c r="H13" s="16"/>
    </row>
    <row r="14" spans="1:8" x14ac:dyDescent="0.25">
      <c r="A14" s="24" t="s">
        <v>343</v>
      </c>
      <c r="B14" s="34">
        <v>22</v>
      </c>
      <c r="C14" s="9">
        <v>10.136363636363637</v>
      </c>
      <c r="D14" s="9">
        <v>3.8090909090909091</v>
      </c>
      <c r="F14" s="27" t="s">
        <v>0</v>
      </c>
      <c r="G14" s="27" t="s">
        <v>354</v>
      </c>
      <c r="H14" s="27" t="s">
        <v>347</v>
      </c>
    </row>
    <row r="15" spans="1:8" x14ac:dyDescent="0.25">
      <c r="A15" s="24" t="s">
        <v>344</v>
      </c>
      <c r="B15" s="34">
        <v>22</v>
      </c>
      <c r="C15" s="9">
        <v>14.954545454545455</v>
      </c>
      <c r="D15" s="9">
        <v>4.7590909090909079</v>
      </c>
      <c r="F15" s="17" t="s">
        <v>192</v>
      </c>
      <c r="G15" s="19">
        <v>69</v>
      </c>
      <c r="H15" s="20">
        <v>2.8</v>
      </c>
    </row>
    <row r="16" spans="1:8" x14ac:dyDescent="0.25">
      <c r="A16" s="24" t="s">
        <v>345</v>
      </c>
      <c r="B16" s="34">
        <v>12</v>
      </c>
      <c r="C16" s="9">
        <v>14.083333333333334</v>
      </c>
      <c r="D16" s="9">
        <v>2.3916666666666666</v>
      </c>
      <c r="F16" s="17" t="s">
        <v>28</v>
      </c>
      <c r="G16" s="19">
        <v>55</v>
      </c>
      <c r="H16" s="20">
        <v>4.5999999999999996</v>
      </c>
    </row>
    <row r="17" spans="1:8" x14ac:dyDescent="0.25">
      <c r="A17" s="24" t="s">
        <v>338</v>
      </c>
      <c r="B17" s="34">
        <v>56</v>
      </c>
      <c r="C17" s="9">
        <v>12.875</v>
      </c>
      <c r="D17" s="9">
        <v>3.8785714285714272</v>
      </c>
      <c r="F17" s="17" t="s">
        <v>87</v>
      </c>
      <c r="G17" s="19">
        <v>49</v>
      </c>
      <c r="H17" s="20">
        <v>4.5999999999999996</v>
      </c>
    </row>
    <row r="18" spans="1:8" x14ac:dyDescent="0.25">
      <c r="B18"/>
      <c r="F18" s="17" t="s">
        <v>66</v>
      </c>
      <c r="G18" s="19">
        <v>44</v>
      </c>
      <c r="H18" s="20">
        <v>4.5999999999999996</v>
      </c>
    </row>
    <row r="19" spans="1:8" x14ac:dyDescent="0.25">
      <c r="A19" s="25" t="s">
        <v>351</v>
      </c>
      <c r="C19" s="16"/>
      <c r="D19" s="16"/>
      <c r="F19" s="17" t="s">
        <v>42</v>
      </c>
      <c r="G19" s="19">
        <v>39</v>
      </c>
      <c r="H19" s="20">
        <v>4.7</v>
      </c>
    </row>
    <row r="20" spans="1:8" x14ac:dyDescent="0.25">
      <c r="A20" s="23" t="s">
        <v>337</v>
      </c>
      <c r="B20" s="34" t="s">
        <v>348</v>
      </c>
      <c r="C20" s="16" t="s">
        <v>349</v>
      </c>
      <c r="D20" s="16" t="s">
        <v>342</v>
      </c>
      <c r="F20" s="17" t="s">
        <v>120</v>
      </c>
      <c r="G20" s="19">
        <v>36</v>
      </c>
      <c r="H20" s="20">
        <v>4.3</v>
      </c>
    </row>
    <row r="21" spans="1:8" x14ac:dyDescent="0.25">
      <c r="A21" s="24" t="s">
        <v>340</v>
      </c>
      <c r="B21" s="34">
        <v>18</v>
      </c>
      <c r="C21" s="9">
        <v>9.5</v>
      </c>
      <c r="D21" s="26">
        <v>7.2222222222222229E-2</v>
      </c>
      <c r="F21" s="17" t="s">
        <v>112</v>
      </c>
      <c r="G21" s="19">
        <v>32</v>
      </c>
      <c r="H21" s="20">
        <v>4.5</v>
      </c>
    </row>
    <row r="22" spans="1:8" x14ac:dyDescent="0.25">
      <c r="A22" s="24" t="s">
        <v>338</v>
      </c>
      <c r="B22" s="34">
        <v>18</v>
      </c>
      <c r="C22" s="9">
        <v>9.5</v>
      </c>
      <c r="D22" s="26">
        <v>7.2222222222222229E-2</v>
      </c>
      <c r="F22" s="17" t="s">
        <v>12</v>
      </c>
      <c r="G22" s="19">
        <v>24</v>
      </c>
      <c r="H22" s="20">
        <v>4.5999999999999996</v>
      </c>
    </row>
    <row r="23" spans="1:8" x14ac:dyDescent="0.25">
      <c r="B23"/>
      <c r="F23" s="17" t="s">
        <v>95</v>
      </c>
      <c r="G23" s="19">
        <v>20</v>
      </c>
      <c r="H23" s="20">
        <v>4.0999999999999996</v>
      </c>
    </row>
    <row r="24" spans="1:8" x14ac:dyDescent="0.25">
      <c r="B24"/>
      <c r="F24" s="17" t="s">
        <v>109</v>
      </c>
      <c r="G24" s="19">
        <v>20</v>
      </c>
      <c r="H24" s="20">
        <v>4.7</v>
      </c>
    </row>
    <row r="26" spans="1:8" ht="15.75" x14ac:dyDescent="0.25">
      <c r="A26" s="21" t="s">
        <v>353</v>
      </c>
      <c r="C26" s="16"/>
    </row>
    <row r="27" spans="1:8" s="28" customFormat="1" ht="15.75" x14ac:dyDescent="0.25">
      <c r="A27" s="27" t="s">
        <v>0</v>
      </c>
      <c r="B27" s="38" t="s">
        <v>347</v>
      </c>
      <c r="C27" s="27" t="s">
        <v>354</v>
      </c>
      <c r="E27" s="21" t="s">
        <v>355</v>
      </c>
      <c r="F27" s="7"/>
      <c r="G27" s="16"/>
      <c r="H27" s="16"/>
    </row>
    <row r="28" spans="1:8" x14ac:dyDescent="0.25">
      <c r="A28" s="17" t="s">
        <v>61</v>
      </c>
      <c r="B28" s="20">
        <v>5</v>
      </c>
      <c r="C28" s="19">
        <v>3</v>
      </c>
      <c r="E28" s="27" t="s">
        <v>0</v>
      </c>
      <c r="F28" s="31" t="s">
        <v>356</v>
      </c>
      <c r="G28" s="27" t="s">
        <v>357</v>
      </c>
      <c r="H28" s="27" t="s">
        <v>347</v>
      </c>
    </row>
    <row r="29" spans="1:8" x14ac:dyDescent="0.25">
      <c r="A29" s="17" t="s">
        <v>54</v>
      </c>
      <c r="B29" s="20">
        <v>5</v>
      </c>
      <c r="C29" s="19">
        <v>2</v>
      </c>
      <c r="E29" s="17" t="s">
        <v>314</v>
      </c>
      <c r="F29" s="30">
        <v>64</v>
      </c>
      <c r="G29" s="29">
        <v>199</v>
      </c>
      <c r="H29" s="16"/>
    </row>
    <row r="30" spans="1:8" x14ac:dyDescent="0.25">
      <c r="A30" s="17" t="s">
        <v>58</v>
      </c>
      <c r="B30" s="20">
        <v>5</v>
      </c>
      <c r="C30" s="19">
        <v>2</v>
      </c>
      <c r="E30" s="17" t="s">
        <v>152</v>
      </c>
      <c r="F30" s="30">
        <v>61</v>
      </c>
      <c r="G30" s="29">
        <v>199</v>
      </c>
      <c r="H30" s="16"/>
    </row>
    <row r="31" spans="1:8" x14ac:dyDescent="0.25">
      <c r="A31" s="17" t="s">
        <v>118</v>
      </c>
      <c r="B31" s="20">
        <v>5</v>
      </c>
      <c r="C31" s="19">
        <v>2</v>
      </c>
      <c r="E31" s="17" t="s">
        <v>33</v>
      </c>
      <c r="F31" s="30">
        <v>55</v>
      </c>
      <c r="G31" s="29">
        <v>1274</v>
      </c>
      <c r="H31" s="20">
        <v>4.8</v>
      </c>
    </row>
    <row r="32" spans="1:8" x14ac:dyDescent="0.25">
      <c r="A32" s="17" t="s">
        <v>115</v>
      </c>
      <c r="B32" s="20">
        <v>5</v>
      </c>
      <c r="C32" s="19">
        <v>1</v>
      </c>
      <c r="E32" s="17" t="s">
        <v>188</v>
      </c>
      <c r="F32" s="30">
        <v>55</v>
      </c>
      <c r="G32" s="29">
        <v>2115</v>
      </c>
      <c r="H32" s="20">
        <v>2.1</v>
      </c>
    </row>
    <row r="33" spans="1:8" x14ac:dyDescent="0.25">
      <c r="A33" s="17" t="s">
        <v>243</v>
      </c>
      <c r="B33" s="20">
        <v>5</v>
      </c>
      <c r="C33" s="19">
        <v>1</v>
      </c>
      <c r="E33" s="17" t="s">
        <v>168</v>
      </c>
      <c r="F33" s="30">
        <v>55</v>
      </c>
      <c r="G33" s="29">
        <v>399</v>
      </c>
      <c r="H33" s="16"/>
    </row>
    <row r="34" spans="1:8" x14ac:dyDescent="0.25">
      <c r="A34" s="17" t="s">
        <v>293</v>
      </c>
      <c r="B34" s="20">
        <v>5</v>
      </c>
      <c r="C34" s="19">
        <v>1</v>
      </c>
      <c r="E34" s="17" t="s">
        <v>83</v>
      </c>
      <c r="F34" s="30">
        <v>54</v>
      </c>
      <c r="G34" s="29">
        <v>2048</v>
      </c>
      <c r="H34" s="20">
        <v>4.3</v>
      </c>
    </row>
    <row r="35" spans="1:8" x14ac:dyDescent="0.25">
      <c r="A35" s="17" t="s">
        <v>45</v>
      </c>
      <c r="B35" s="20">
        <v>4.8</v>
      </c>
      <c r="C35" s="19">
        <v>12</v>
      </c>
      <c r="E35" s="17" t="s">
        <v>184</v>
      </c>
      <c r="F35" s="30">
        <v>54</v>
      </c>
      <c r="G35" s="29">
        <v>458</v>
      </c>
      <c r="H35" s="20">
        <v>3</v>
      </c>
    </row>
    <row r="36" spans="1:8" x14ac:dyDescent="0.25">
      <c r="A36" s="17" t="s">
        <v>20</v>
      </c>
      <c r="B36" s="20">
        <v>4.8</v>
      </c>
      <c r="C36" s="19">
        <v>5</v>
      </c>
      <c r="E36" s="17" t="s">
        <v>69</v>
      </c>
      <c r="F36" s="30">
        <v>53</v>
      </c>
      <c r="G36" s="29">
        <v>38</v>
      </c>
      <c r="H36" s="20">
        <v>3.3</v>
      </c>
    </row>
    <row r="37" spans="1:8" x14ac:dyDescent="0.25">
      <c r="A37" s="17" t="s">
        <v>33</v>
      </c>
      <c r="B37" s="20">
        <v>4.8</v>
      </c>
      <c r="C37" s="19">
        <v>5</v>
      </c>
      <c r="E37" s="17" t="s">
        <v>118</v>
      </c>
      <c r="F37" s="30">
        <v>53</v>
      </c>
      <c r="G37" s="29">
        <v>171</v>
      </c>
      <c r="H37" s="20">
        <v>5</v>
      </c>
    </row>
    <row r="38" spans="1:8" x14ac:dyDescent="0.25">
      <c r="E38" s="17" t="s">
        <v>100</v>
      </c>
      <c r="F38" s="30">
        <v>52</v>
      </c>
      <c r="G38" s="29">
        <v>185</v>
      </c>
      <c r="H38" s="20">
        <v>4.3</v>
      </c>
    </row>
    <row r="40" spans="1:8" ht="15.75" x14ac:dyDescent="0.25">
      <c r="A40" s="21" t="s">
        <v>358</v>
      </c>
      <c r="C40" s="16"/>
      <c r="D40" s="16"/>
    </row>
    <row r="41" spans="1:8" s="32" customFormat="1" x14ac:dyDescent="0.25">
      <c r="A41" s="27" t="s">
        <v>0</v>
      </c>
      <c r="B41" s="38" t="s">
        <v>356</v>
      </c>
      <c r="C41" s="27" t="s">
        <v>347</v>
      </c>
      <c r="D41" s="27" t="s">
        <v>354</v>
      </c>
      <c r="F41" s="33"/>
    </row>
    <row r="42" spans="1:8" ht="15.75" x14ac:dyDescent="0.25">
      <c r="A42" s="17" t="s">
        <v>188</v>
      </c>
      <c r="B42" s="20">
        <v>55</v>
      </c>
      <c r="C42" s="20">
        <v>2.1</v>
      </c>
      <c r="D42" s="19">
        <v>13</v>
      </c>
      <c r="F42" s="21" t="s">
        <v>360</v>
      </c>
      <c r="G42" s="16"/>
      <c r="H42" s="16"/>
    </row>
    <row r="43" spans="1:8" x14ac:dyDescent="0.25">
      <c r="A43" s="17" t="s">
        <v>184</v>
      </c>
      <c r="B43" s="20">
        <v>54</v>
      </c>
      <c r="C43" s="20">
        <v>3</v>
      </c>
      <c r="D43" s="19">
        <v>10</v>
      </c>
      <c r="F43" s="27" t="s">
        <v>0</v>
      </c>
      <c r="G43" s="27" t="s">
        <v>347</v>
      </c>
      <c r="H43" s="27" t="s">
        <v>354</v>
      </c>
    </row>
    <row r="44" spans="1:8" x14ac:dyDescent="0.25">
      <c r="A44" s="17" t="s">
        <v>69</v>
      </c>
      <c r="B44" s="20">
        <v>53</v>
      </c>
      <c r="C44" s="20">
        <v>3.3</v>
      </c>
      <c r="D44" s="19">
        <v>13</v>
      </c>
      <c r="F44" s="17" t="s">
        <v>316</v>
      </c>
      <c r="G44" s="20">
        <v>2</v>
      </c>
      <c r="H44" s="19">
        <v>1</v>
      </c>
    </row>
    <row r="45" spans="1:8" x14ac:dyDescent="0.25">
      <c r="A45" s="17" t="s">
        <v>196</v>
      </c>
      <c r="B45" s="20">
        <v>52</v>
      </c>
      <c r="C45" s="20">
        <v>2.7</v>
      </c>
      <c r="D45" s="19">
        <v>15</v>
      </c>
      <c r="F45" s="17" t="s">
        <v>227</v>
      </c>
      <c r="G45" s="20">
        <v>2.1</v>
      </c>
      <c r="H45" s="19">
        <v>7</v>
      </c>
    </row>
    <row r="46" spans="1:8" x14ac:dyDescent="0.25">
      <c r="A46" s="17" t="s">
        <v>316</v>
      </c>
      <c r="B46" s="20">
        <v>50</v>
      </c>
      <c r="C46" s="20">
        <v>2</v>
      </c>
      <c r="D46" s="19">
        <v>1</v>
      </c>
      <c r="F46" s="17" t="s">
        <v>188</v>
      </c>
      <c r="G46" s="20">
        <v>2.1</v>
      </c>
      <c r="H46" s="19">
        <v>13</v>
      </c>
    </row>
    <row r="47" spans="1:8" x14ac:dyDescent="0.25">
      <c r="A47" s="17" t="s">
        <v>207</v>
      </c>
      <c r="B47" s="20">
        <v>50</v>
      </c>
      <c r="C47" s="20">
        <v>2.2999999999999998</v>
      </c>
      <c r="D47" s="19">
        <v>7</v>
      </c>
      <c r="F47" s="17" t="s">
        <v>204</v>
      </c>
      <c r="G47" s="20">
        <v>2.2000000000000002</v>
      </c>
      <c r="H47" s="19">
        <v>6</v>
      </c>
    </row>
    <row r="48" spans="1:8" x14ac:dyDescent="0.25">
      <c r="A48" s="17" t="s">
        <v>192</v>
      </c>
      <c r="B48" s="20">
        <v>49</v>
      </c>
      <c r="C48" s="20">
        <v>2.8</v>
      </c>
      <c r="D48" s="19">
        <v>69</v>
      </c>
      <c r="F48" s="17" t="s">
        <v>225</v>
      </c>
      <c r="G48" s="20">
        <v>2.2000000000000002</v>
      </c>
      <c r="H48" s="19">
        <v>6</v>
      </c>
    </row>
    <row r="49" spans="1:4" x14ac:dyDescent="0.25">
      <c r="A49" s="17" t="s">
        <v>227</v>
      </c>
      <c r="B49" s="20">
        <v>47</v>
      </c>
      <c r="C49" s="20">
        <v>2.1</v>
      </c>
      <c r="D49" s="19">
        <v>7</v>
      </c>
    </row>
    <row r="50" spans="1:4" x14ac:dyDescent="0.25">
      <c r="A50" s="17" t="s">
        <v>225</v>
      </c>
      <c r="B50" s="20">
        <v>47</v>
      </c>
      <c r="C50" s="20">
        <v>2.2000000000000002</v>
      </c>
      <c r="D50" s="19">
        <v>6</v>
      </c>
    </row>
    <row r="51" spans="1:4" x14ac:dyDescent="0.25">
      <c r="A51" s="17" t="s">
        <v>241</v>
      </c>
      <c r="B51" s="20">
        <v>46</v>
      </c>
      <c r="C51" s="20">
        <v>3</v>
      </c>
      <c r="D51" s="19">
        <v>1</v>
      </c>
    </row>
    <row r="54" spans="1:4" ht="15.75" x14ac:dyDescent="0.25">
      <c r="A54" s="21" t="s">
        <v>361</v>
      </c>
      <c r="C54" s="16"/>
    </row>
    <row r="55" spans="1:4" x14ac:dyDescent="0.25">
      <c r="A55" s="27" t="s">
        <v>0</v>
      </c>
      <c r="B55" s="38" t="s">
        <v>354</v>
      </c>
      <c r="C55" s="27" t="s">
        <v>347</v>
      </c>
    </row>
    <row r="56" spans="1:4" x14ac:dyDescent="0.25">
      <c r="A56" s="17" t="s">
        <v>192</v>
      </c>
      <c r="B56" s="20">
        <v>69</v>
      </c>
      <c r="C56" s="20">
        <v>2.8</v>
      </c>
    </row>
    <row r="57" spans="1:4" x14ac:dyDescent="0.25">
      <c r="A57" s="17" t="s">
        <v>28</v>
      </c>
      <c r="B57" s="20">
        <v>55</v>
      </c>
      <c r="C57" s="20">
        <v>4.5999999999999996</v>
      </c>
    </row>
    <row r="58" spans="1:4" x14ac:dyDescent="0.25">
      <c r="A58" s="17" t="s">
        <v>87</v>
      </c>
      <c r="B58" s="20">
        <v>49</v>
      </c>
      <c r="C58" s="20">
        <v>4.5999999999999996</v>
      </c>
    </row>
    <row r="59" spans="1:4" x14ac:dyDescent="0.25">
      <c r="A59" s="17" t="s">
        <v>66</v>
      </c>
      <c r="B59" s="20">
        <v>44</v>
      </c>
      <c r="C59" s="20">
        <v>4.5999999999999996</v>
      </c>
    </row>
    <row r="60" spans="1:4" x14ac:dyDescent="0.25">
      <c r="A60" s="17" t="s">
        <v>42</v>
      </c>
      <c r="B60" s="20">
        <v>39</v>
      </c>
      <c r="C60" s="20">
        <v>4.7</v>
      </c>
    </row>
    <row r="61" spans="1:4" x14ac:dyDescent="0.25">
      <c r="A61" s="17" t="s">
        <v>120</v>
      </c>
      <c r="B61" s="20">
        <v>36</v>
      </c>
      <c r="C61" s="20">
        <v>4.3</v>
      </c>
    </row>
    <row r="62" spans="1:4" x14ac:dyDescent="0.25">
      <c r="A62" s="17" t="s">
        <v>112</v>
      </c>
      <c r="B62" s="20">
        <v>32</v>
      </c>
      <c r="C62" s="20">
        <v>4.5</v>
      </c>
    </row>
    <row r="63" spans="1:4" x14ac:dyDescent="0.25">
      <c r="A63" s="17" t="s">
        <v>12</v>
      </c>
      <c r="B63" s="20">
        <v>24</v>
      </c>
      <c r="C63" s="20">
        <v>4.5999999999999996</v>
      </c>
    </row>
    <row r="64" spans="1:4" x14ac:dyDescent="0.25">
      <c r="A64" s="17" t="s">
        <v>109</v>
      </c>
      <c r="B64" s="20">
        <v>20</v>
      </c>
      <c r="C64" s="20">
        <v>4.7</v>
      </c>
    </row>
    <row r="65" spans="1:3" x14ac:dyDescent="0.25">
      <c r="A65" s="17" t="s">
        <v>95</v>
      </c>
      <c r="B65" s="20">
        <v>20</v>
      </c>
      <c r="C65" s="20">
        <v>4.0999999999999996</v>
      </c>
    </row>
  </sheetData>
  <pageMargins left="0.7" right="0.7" top="0.75" bottom="0.75" header="0.3" footer="0.3"/>
  <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BC5B95-4469-4BE5-A676-4868052FB8DF}">
  <dimension ref="A1"/>
  <sheetViews>
    <sheetView topLeftCell="A13" workbookViewId="0">
      <selection activeCell="G32" sqref="G32"/>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60AD97-9774-4BCB-B95C-6A096F348D8A}">
  <dimension ref="A1"/>
  <sheetViews>
    <sheetView tabSelected="1" topLeftCell="A7" workbookViewId="0">
      <selection activeCell="Q14" sqref="Q14"/>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Excel_jumia_dataset</vt:lpstr>
      <vt:lpstr>Excel_jumia_dataset Current</vt:lpstr>
      <vt:lpstr>Sheet4</vt:lpstr>
      <vt:lpstr>Rating Category</vt:lpstr>
      <vt:lpstr>Discount Category</vt:lpstr>
      <vt:lpstr>Excel_jumia_dataset Current (Re</vt:lpstr>
      <vt:lpstr>Data Analysis</vt:lpstr>
      <vt:lpstr>Graphics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ADOLPH OMONDI</dc:creator>
  <cp:lastModifiedBy>ADOLPH OMONDI</cp:lastModifiedBy>
  <dcterms:created xsi:type="dcterms:W3CDTF">2026-09-06T18:37:58Z</dcterms:created>
  <dcterms:modified xsi:type="dcterms:W3CDTF">2026-09-08T14:25:20Z</dcterms:modified>
</cp:coreProperties>
</file>